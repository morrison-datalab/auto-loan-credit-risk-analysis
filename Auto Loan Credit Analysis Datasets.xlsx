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esterngovernorsuniversity-my.sharepoint.com/personal/mmorr195_wgu_edu/Documents/"/>
    </mc:Choice>
  </mc:AlternateContent>
  <xr:revisionPtr revIDLastSave="265" documentId="8_{43560F1C-820B-4FCE-83C3-07B7BB981A9B}" xr6:coauthVersionLast="47" xr6:coauthVersionMax="47" xr10:uidLastSave="{93650559-C938-4ECC-9872-6044D9C1A81A}"/>
  <bookViews>
    <workbookView xWindow="-120" yWindow="-120" windowWidth="29040" windowHeight="15720" firstSheet="1" activeTab="1" xr2:uid="{63B6058A-54C6-4F57-A309-549E681F9BEF}"/>
  </bookViews>
  <sheets>
    <sheet name="Auto Loan Origination Data" sheetId="1" r:id="rId1"/>
    <sheet name="Averages by Period" sheetId="2" r:id="rId2"/>
    <sheet name="Subprime Comparison" sheetId="5" r:id="rId3"/>
    <sheet name="Increases Since Recession" sheetId="6" state="hidden" r:id="rId4"/>
    <sheet name="Total Subprime" sheetId="7" state="hidden" r:id="rId5"/>
    <sheet name="Delinquent Data 90" sheetId="4" r:id="rId6"/>
  </sheets>
  <externalReferences>
    <externalReference r:id="rId7"/>
    <externalReference r:id="rId8"/>
  </externalReferences>
  <definedNames>
    <definedName name="Page_20_18_29" localSheetId="5">OFFSET('[1]Page 20 Data'!$B$21,0,0,COUNTA('[1]Page 20 Data'!$B:$B)-17)</definedName>
    <definedName name="Page_20_18_29">OFFSET('[2]Page 20 Data'!$B$21,0,0,COUNTA('[2]Page 20 Data'!$B:$B)-17)</definedName>
    <definedName name="Page_20_30_39" localSheetId="5">OFFSET('[1]Page 20 Data'!$C$21,0,0,COUNTA('[1]Page 20 Data'!$C:$C)-17)</definedName>
    <definedName name="Page_20_30_39">OFFSET('[2]Page 20 Data'!$C$21,0,0,COUNTA('[2]Page 20 Data'!$C:$C)-17)</definedName>
    <definedName name="Page_20_40_49" localSheetId="5">OFFSET('[1]Page 20 Data'!$D$21,0,0,COUNTA('[1]Page 20 Data'!$D:$D)-17)</definedName>
    <definedName name="Page_20_40_49">OFFSET('[2]Page 20 Data'!$D$21,0,0,COUNTA('[2]Page 20 Data'!$D:$D)-17)</definedName>
    <definedName name="Page_20_50_59" localSheetId="5">OFFSET('[1]Page 20 Data'!$E$21,0,0,COUNTA('[1]Page 20 Data'!$E:$E)-17)</definedName>
    <definedName name="Page_20_50_59">OFFSET('[2]Page 20 Data'!$E$21,0,0,COUNTA('[2]Page 20 Data'!$E:$E)-17)</definedName>
    <definedName name="Page_20_60_69" localSheetId="5">OFFSET('[1]Page 20 Data'!$F$21,0,0,COUNTA('[1]Page 20 Data'!$F:$F)-17)</definedName>
    <definedName name="Page_20_60_69">OFFSET('[2]Page 20 Data'!$F$21,0,0,COUNTA('[2]Page 20 Data'!$F:$F)-17)</definedName>
    <definedName name="Page_20_70plus" localSheetId="5">OFFSET('[1]Page 20 Data'!$G$21,0,0,COUNTA('[1]Page 20 Data'!$G:$G)-17)</definedName>
    <definedName name="Page_20_70plus">OFFSET('[2]Page 20 Data'!$G$21,0,0,COUNTA('[2]Page 20 Data'!$G:$G)-17)</definedName>
    <definedName name="Page_22_18" localSheetId="5">OFFSET('[1]Page 22 Data'!$B$17,0,0,COUNTA('[1]Page 22 Data'!$B:$B)-13)</definedName>
    <definedName name="Page_22_18">OFFSET('[2]Page 22 Data'!$B$17,0,0,COUNTA('[2]Page 22 Data'!$B:$B)-13)</definedName>
    <definedName name="Page_22_30" localSheetId="5">OFFSET('[1]Page 22 Data'!$C$17,0,0,COUNTA('[1]Page 22 Data'!$C:$C)-13)</definedName>
    <definedName name="Page_22_30">OFFSET('[2]Page 22 Data'!$C$17,0,0,COUNTA('[2]Page 22 Data'!$C:$C)-13)</definedName>
    <definedName name="Page_22_40" localSheetId="5">OFFSET('[1]Page 22 Data'!$D$17,0,0,COUNTA('[1]Page 22 Data'!$D:$D)-13)</definedName>
    <definedName name="Page_22_40">OFFSET('[2]Page 22 Data'!$D$17,0,0,COUNTA('[2]Page 22 Data'!$D:$D)-13)</definedName>
    <definedName name="Page_22_50" localSheetId="5">OFFSET('[1]Page 22 Data'!$E$17,0,0,COUNTA('[1]Page 22 Data'!$E:$E)-13)</definedName>
    <definedName name="Page_22_50">OFFSET('[2]Page 22 Data'!$E$17,0,0,COUNTA('[2]Page 22 Data'!$E:$E)-13)</definedName>
    <definedName name="Page_22_60" localSheetId="5">OFFSET('[1]Page 22 Data'!$F$17,0,0,COUNTA('[1]Page 22 Data'!$F:$F)-13)</definedName>
    <definedName name="Page_22_60">OFFSET('[2]Page 22 Data'!$F$17,0,0,COUNTA('[2]Page 22 Data'!$F:$F)-13)</definedName>
    <definedName name="Page_22_70" localSheetId="5">OFFSET('[1]Page 22 Data'!$G$17,0,0,COUNTA('[1]Page 22 Data'!$G:$G)-13)</definedName>
    <definedName name="Page_22_70">OFFSET('[2]Page 22 Data'!$G$17,0,0,COUNTA('[2]Page 22 Data'!$G:$G)-13)</definedName>
    <definedName name="Page_22_Date" localSheetId="5">OFFSET('[1]Page 22 Data'!$A$17,0,0,COUNTA('[1]Page 22 Data'!$A:$A)-15)</definedName>
    <definedName name="Page_22_Date">OFFSET('[2]Page 22 Data'!$A$17,0,0,COUNTA('[2]Page 22 Data'!$A:$A)-15)</definedName>
    <definedName name="Page_23_18" localSheetId="5">OFFSET('[1]Page 23 Data'!$B$17,0,0,COUNTA('[1]Page 23 Data'!$B:$B)-13)</definedName>
    <definedName name="Page_23_18">OFFSET('[2]Page 23 Data'!$B$17,0,0,COUNTA('[2]Page 23 Data'!$B:$B)-13)</definedName>
    <definedName name="Page_23_30" localSheetId="5">OFFSET('[1]Page 23 Data'!$C$17,0,0,COUNTA('[1]Page 23 Data'!$C:$C)-13)</definedName>
    <definedName name="Page_23_30">OFFSET('[2]Page 23 Data'!$C$17,0,0,COUNTA('[2]Page 23 Data'!$C:$C)-13)</definedName>
    <definedName name="Page_23_40" localSheetId="5">OFFSET('[1]Page 23 Data'!$D$17,0,0,COUNTA('[1]Page 23 Data'!$D:$D)-13)</definedName>
    <definedName name="Page_23_40">OFFSET('[2]Page 23 Data'!$D$17,0,0,COUNTA('[2]Page 23 Data'!$D:$D)-13)</definedName>
    <definedName name="Page_23_50" localSheetId="5">OFFSET('[1]Page 23 Data'!$E$17,0,0,COUNTA('[1]Page 23 Data'!$E:$E)-13)</definedName>
    <definedName name="Page_23_50">OFFSET('[2]Page 23 Data'!$E$17,0,0,COUNTA('[2]Page 23 Data'!$E:$E)-13)</definedName>
    <definedName name="Page_23_60" localSheetId="5">OFFSET('[1]Page 23 Data'!$F$17,0,0,COUNTA('[1]Page 23 Data'!$F:$F)-13)</definedName>
    <definedName name="Page_23_60">OFFSET('[2]Page 23 Data'!$F$17,0,0,COUNTA('[2]Page 23 Data'!$F:$F)-13)</definedName>
    <definedName name="Page_23_70" localSheetId="5">OFFSET('[1]Page 23 Data'!$G$17,0,0,COUNTA('[1]Page 23 Data'!$G:$G)-13)</definedName>
    <definedName name="Page_23_70">OFFSET('[2]Page 23 Data'!$G$17,0,0,COUNTA('[2]Page 23 Data'!$G:$G)-13)</definedName>
    <definedName name="Page_23_Date" localSheetId="5">OFFSET('[1]Page 23 Data'!$A$17,0,0,COUNTA('[1]Page 23 Data'!$A:$A)-15)</definedName>
    <definedName name="Page_23_Date">OFFSET('[2]Page 23 Data'!$A$17,0,0,COUNTA('[2]Page 23 Data'!$A:$A)-15)</definedName>
    <definedName name="Page_24_18" localSheetId="5">OFFSET('[1]Page 24 Data'!$B$16,0,0,COUNTA('[1]Page 24 Data'!$B:$B)-13)</definedName>
    <definedName name="Page_24_18">OFFSET('[2]Page 24 Data'!$B$16,0,0,COUNTA('[2]Page 24 Data'!$B:$B)-13)</definedName>
    <definedName name="Page_24_30" localSheetId="5">OFFSET('[1]Page 24 Data'!$C$16,0,0,COUNTA('[1]Page 24 Data'!$C:$C)-13)</definedName>
    <definedName name="Page_24_30">OFFSET('[2]Page 24 Data'!$C$16,0,0,COUNTA('[2]Page 24 Data'!$C:$C)-13)</definedName>
    <definedName name="Page_24_40" localSheetId="5">OFFSET('[1]Page 24 Data'!$D$16,0,0,COUNTA('[1]Page 24 Data'!$D:$D)-13)</definedName>
    <definedName name="Page_24_40">OFFSET('[2]Page 24 Data'!$D$16,0,0,COUNTA('[2]Page 24 Data'!$D:$D)-13)</definedName>
    <definedName name="Page_24_50" localSheetId="5">OFFSET('[1]Page 24 Data'!$E$16,0,0,COUNTA('[1]Page 24 Data'!$E:$E)-13)</definedName>
    <definedName name="Page_24_50">OFFSET('[2]Page 24 Data'!$E$16,0,0,COUNTA('[2]Page 24 Data'!$E:$E)-13)</definedName>
    <definedName name="Page_24_60" localSheetId="5">OFFSET('[1]Page 24 Data'!$F$16,0,0,COUNTA('[1]Page 24 Data'!$F:$F)-13)</definedName>
    <definedName name="Page_24_60">OFFSET('[2]Page 24 Data'!$F$16,0,0,COUNTA('[2]Page 24 Data'!$F:$F)-13)</definedName>
    <definedName name="Page_24_70" localSheetId="5">OFFSET('[1]Page 24 Data'!$G$16,0,0,COUNTA('[1]Page 24 Data'!$G:$G)-13)</definedName>
    <definedName name="Page_24_70">OFFSET('[2]Page 24 Data'!$G$16,0,0,COUNTA('[2]Page 24 Data'!$G:$G)-13)</definedName>
    <definedName name="Page_24_Date" localSheetId="5">OFFSET('[1]Page 24 Data'!$A$16,0,0,COUNTA('[1]Page 24 Data'!$A:$A)-15)</definedName>
    <definedName name="Page_24_Date">OFFSET('[2]Page 24 Data'!$A$16,0,0,COUNTA('[2]Page 24 Data'!$A:$A)-15)</definedName>
    <definedName name="Page_25_18" localSheetId="5">OFFSET('[1]Page 25 Data'!$B$16,0,0,COUNTA('[1]Page 25 Data'!$B:$B)-13)</definedName>
    <definedName name="Page_25_18">OFFSET('[2]Page 25 Data'!$B$16,0,0,COUNTA('[2]Page 25 Data'!$B:$B)-13)</definedName>
    <definedName name="Page_25_30" localSheetId="5">OFFSET('[1]Page 25 Data'!$C$16,0,0,COUNTA('[1]Page 25 Data'!$C:$C)-13)</definedName>
    <definedName name="Page_25_30">OFFSET('[2]Page 25 Data'!$C$16,0,0,COUNTA('[2]Page 25 Data'!$C:$C)-13)</definedName>
    <definedName name="Page_25_40" localSheetId="5">OFFSET('[1]Page 25 Data'!$D$16,0,0,COUNTA('[1]Page 25 Data'!$D:$D)-13)</definedName>
    <definedName name="Page_25_40">OFFSET('[2]Page 25 Data'!$D$16,0,0,COUNTA('[2]Page 25 Data'!$D:$D)-13)</definedName>
    <definedName name="Page_25_50" localSheetId="5">OFFSET('[1]Page 25 Data'!$E$16,0,0,COUNTA('[1]Page 25 Data'!$E:$E)-13)</definedName>
    <definedName name="Page_25_50">OFFSET('[2]Page 25 Data'!$E$16,0,0,COUNTA('[2]Page 25 Data'!$E:$E)-13)</definedName>
    <definedName name="Page_25_60" localSheetId="5">OFFSET('[1]Page 25 Data'!$F$16,0,0,COUNTA('[1]Page 25 Data'!$F:$F)-13)</definedName>
    <definedName name="Page_25_60">OFFSET('[2]Page 25 Data'!$F$16,0,0,COUNTA('[2]Page 25 Data'!$F:$F)-13)</definedName>
    <definedName name="Page_25_70" localSheetId="5">OFFSET('[1]Page 25 Data'!$G$16,0,0,COUNTA('[1]Page 25 Data'!$G:$G)-13)</definedName>
    <definedName name="Page_25_70">OFFSET('[2]Page 25 Data'!$G$16,0,0,COUNTA('[2]Page 25 Data'!$G:$G)-13)</definedName>
    <definedName name="Page_25_all" localSheetId="5">OFFSET('[1]Page 25 Data'!$H$16,0,0,COUNTA('[1]Page 25 Data'!$H:$H)-13)</definedName>
    <definedName name="Page_25_all">OFFSET('[2]Page 25 Data'!$H$16,0,0,COUNTA('[2]Page 25 Data'!$H:$H)-13)</definedName>
    <definedName name="Page_25_Date" localSheetId="5">OFFSET('[1]Page 25 Data'!$A$16,0,0,COUNTA('[1]Page 25 Data'!$A:$A)-15)</definedName>
    <definedName name="Page_25_Date">OFFSET('[2]Page 25 Data'!$A$16,0,0,COUNTA('[2]Page 25 Data'!$A:$A)-15)</definedName>
    <definedName name="Page_26_18" localSheetId="5">OFFSET('[1]Page 26 Data'!$B$16,0,0,COUNTA('[1]Page 26 Data'!$B:$B)-13)</definedName>
    <definedName name="Page_26_18">OFFSET('[2]Page 26 Data'!$B$16,0,0,COUNTA('[2]Page 26 Data'!$B:$B)-13)</definedName>
    <definedName name="Page_26_30" localSheetId="5">OFFSET('[1]Page 26 Data'!$C$16,0,0,COUNTA('[1]Page 26 Data'!$C:$C)-13)</definedName>
    <definedName name="Page_26_30">OFFSET('[2]Page 26 Data'!$C$16,0,0,COUNTA('[2]Page 26 Data'!$C:$C)-13)</definedName>
    <definedName name="Page_26_40" localSheetId="5">OFFSET('[1]Page 26 Data'!$D$16,0,0,COUNTA('[1]Page 26 Data'!$D:$D)-13)</definedName>
    <definedName name="Page_26_40">OFFSET('[2]Page 26 Data'!$D$16,0,0,COUNTA('[2]Page 26 Data'!$D:$D)-13)</definedName>
    <definedName name="Page_26_50" localSheetId="5">OFFSET('[1]Page 26 Data'!$E$16,0,0,COUNTA('[1]Page 26 Data'!$E:$E)-13)</definedName>
    <definedName name="Page_26_50">OFFSET('[2]Page 26 Data'!$E$16,0,0,COUNTA('[2]Page 26 Data'!$E:$E)-13)</definedName>
    <definedName name="Page_26_60" localSheetId="5">OFFSET('[1]Page 26 Data'!$F$16,0,0,COUNTA('[1]Page 26 Data'!$F:$F)-13)</definedName>
    <definedName name="Page_26_60">OFFSET('[2]Page 26 Data'!$F$16,0,0,COUNTA('[2]Page 26 Data'!$F:$F)-13)</definedName>
    <definedName name="Page_26_70" localSheetId="5">OFFSET('[1]Page 26 Data'!$G$16,0,0,COUNTA('[1]Page 26 Data'!$G:$G)-13)</definedName>
    <definedName name="Page_26_70">OFFSET('[2]Page 26 Data'!$G$16,0,0,COUNTA('[2]Page 26 Data'!$G:$G)-13)</definedName>
    <definedName name="Page_26_all" localSheetId="5">OFFSET('[1]Page 26 Data'!$H$16,0,0,COUNTA('[1]Page 26 Data'!$H:$H)-13)</definedName>
    <definedName name="Page_26_all">OFFSET('[2]Page 26 Data'!$H$16,0,0,COUNTA('[2]Page 26 Data'!$H:$H)-13)</definedName>
    <definedName name="Page_26_Date" localSheetId="5">OFFSET('[1]Page 26 Data'!$A$16,0,0,COUNTA('[1]Page 26 Data'!$A:$A)-15)</definedName>
    <definedName name="Page_26_Date">OFFSET('[2]Page 26 Data'!$A$16,0,0,COUNTA('[2]Page 26 Data'!$A:$A)-15)</definedName>
    <definedName name="Page_27_18" localSheetId="5">OFFSET('[1]Page 27 Data'!$B$16,0,0,COUNTA('[1]Page 27 Data'!$B:$B)-13)</definedName>
    <definedName name="Page_27_18">OFFSET('[2]Page 27 Data'!$B$16,0,0,COUNTA('[2]Page 27 Data'!$B:$B)-13)</definedName>
    <definedName name="Page_27_30" localSheetId="5">OFFSET('[1]Page 27 Data'!$C$16,0,0,COUNTA('[1]Page 27 Data'!$C:$C)-13)</definedName>
    <definedName name="Page_27_30">OFFSET('[2]Page 27 Data'!$C$16,0,0,COUNTA('[2]Page 27 Data'!$C:$C)-13)</definedName>
    <definedName name="Page_27_40" localSheetId="5">OFFSET('[1]Page 27 Data'!$D$16,0,0,COUNTA('[1]Page 27 Data'!$D:$D)-13)</definedName>
    <definedName name="Page_27_40">OFFSET('[2]Page 27 Data'!$D$16,0,0,COUNTA('[2]Page 27 Data'!$D:$D)-13)</definedName>
    <definedName name="Page_27_50" localSheetId="5">OFFSET('[1]Page 27 Data'!$E$16,0,0,COUNTA('[1]Page 27 Data'!$E:$E)-13)</definedName>
    <definedName name="Page_27_50">OFFSET('[2]Page 27 Data'!$E$16,0,0,COUNTA('[2]Page 27 Data'!$E:$E)-13)</definedName>
    <definedName name="Page_27_60" localSheetId="5">OFFSET('[1]Page 27 Data'!$F$16,0,0,COUNTA('[1]Page 27 Data'!$F:$F)-13)</definedName>
    <definedName name="Page_27_60">OFFSET('[2]Page 27 Data'!$F$16,0,0,COUNTA('[2]Page 27 Data'!$F:$F)-13)</definedName>
    <definedName name="Page_27_70" localSheetId="5">OFFSET('[1]Page 27 Data'!$G$16,0,0,COUNTA('[1]Page 27 Data'!$G:$G)-13)</definedName>
    <definedName name="Page_27_70">OFFSET('[2]Page 27 Data'!$G$16,0,0,COUNTA('[2]Page 27 Data'!$G:$G)-13)</definedName>
    <definedName name="Page_27_all" localSheetId="5">OFFSET('[1]Page 27 Data'!$H$16,0,0,COUNTA('[1]Page 27 Data'!$H:$H)-13)</definedName>
    <definedName name="Page_27_all">OFFSET('[2]Page 27 Data'!$H$16,0,0,COUNTA('[2]Page 27 Data'!$H:$H)-13)</definedName>
    <definedName name="Page_27_Date" localSheetId="5">OFFSET('[1]Page 27 Data'!$A$16,0,0,COUNTA('[1]Page 27 Data'!$A:$A)-15)</definedName>
    <definedName name="Page_27_Date">OFFSET('[2]Page 27 Data'!$A$16,0,0,COUNTA('[2]Page 27 Data'!$A:$A)-15)</definedName>
    <definedName name="Page_28_18" localSheetId="5">OFFSET('[1]Page 28 Data'!$B$16,0,0,COUNTA('[1]Page 28 Data'!$B:$B)-13)</definedName>
    <definedName name="Page_28_18">OFFSET('[2]Page 28 Data'!$B$16,0,0,COUNTA('[2]Page 28 Data'!$B:$B)-13)</definedName>
    <definedName name="Page_28_30" localSheetId="5">OFFSET('[1]Page 28 Data'!$C$16,0,0,COUNTA('[1]Page 28 Data'!$C:$C)-13)</definedName>
    <definedName name="Page_28_30">OFFSET('[2]Page 28 Data'!$C$16,0,0,COUNTA('[2]Page 28 Data'!$C:$C)-13)</definedName>
    <definedName name="Page_28_40" localSheetId="5">OFFSET('[1]Page 28 Data'!$D$16,0,0,COUNTA('[1]Page 28 Data'!$D:$D)-13)</definedName>
    <definedName name="Page_28_40">OFFSET('[2]Page 28 Data'!$D$16,0,0,COUNTA('[2]Page 28 Data'!$D:$D)-13)</definedName>
    <definedName name="Page_28_50" localSheetId="5">OFFSET('[1]Page 28 Data'!$E$16,0,0,COUNTA('[1]Page 28 Data'!$E:$E)-13)</definedName>
    <definedName name="Page_28_50">OFFSET('[2]Page 28 Data'!$E$16,0,0,COUNTA('[2]Page 28 Data'!$E:$E)-13)</definedName>
    <definedName name="Page_28_all" localSheetId="5">OFFSET('[1]Page 28 Data'!$H$16,0,0,COUNTA('[1]Page 28 Data'!$H:$H)-13)</definedName>
    <definedName name="Page_28_all">OFFSET('[2]Page 28 Data'!$H$16,0,0,COUNTA('[2]Page 28 Data'!$H:$H)-13)</definedName>
    <definedName name="Page_28_Date" localSheetId="5">OFFSET('[1]Page 28 Data'!$A$16,0,0,COUNTA('[1]Page 28 Data'!$A:$A)-15)</definedName>
    <definedName name="Page_28_Date">OFFSET('[2]Page 28 Data'!$A$16,0,0,COUNTA('[2]Page 28 Data'!$A:$A)-15)</definedName>
    <definedName name="Page_29_18" localSheetId="5">OFFSET('[1]Page 29 Data'!$B$17,0,0,COUNTA('[1]Page 29 Data'!$B:$B)-13)</definedName>
    <definedName name="Page_29_18">OFFSET('[2]Page 29 Data'!$B$17,0,0,COUNTA('[2]Page 29 Data'!$B:$B)-13)</definedName>
    <definedName name="Page_29_30" localSheetId="5">OFFSET('[1]Page 29 Data'!$C$17,0,0,COUNTA('[1]Page 29 Data'!$C:$C)-13)</definedName>
    <definedName name="Page_29_30">OFFSET('[2]Page 29 Data'!$C$17,0,0,COUNTA('[2]Page 29 Data'!$C:$C)-13)</definedName>
    <definedName name="Page_29_40" localSheetId="5">OFFSET('[1]Page 29 Data'!$D$17,0,0,COUNTA('[1]Page 29 Data'!$D:$D)-13)</definedName>
    <definedName name="Page_29_40">OFFSET('[2]Page 29 Data'!$D$17,0,0,COUNTA('[2]Page 29 Data'!$D:$D)-13)</definedName>
    <definedName name="Page_29_50" localSheetId="5">OFFSET('[1]Page 29 Data'!$E$17,0,0,COUNTA('[1]Page 29 Data'!$E:$E)-13)</definedName>
    <definedName name="Page_29_50">OFFSET('[2]Page 29 Data'!$E$17,0,0,COUNTA('[2]Page 29 Data'!$E:$E)-13)</definedName>
    <definedName name="Page_29_60" localSheetId="5">OFFSET('[1]Page 29 Data'!$F$17,0,0,COUNTA('[1]Page 29 Data'!$F:$F)-13)</definedName>
    <definedName name="Page_29_60">OFFSET('[2]Page 29 Data'!$F$17,0,0,COUNTA('[2]Page 29 Data'!$F:$F)-13)</definedName>
    <definedName name="Page_29_70" localSheetId="5">OFFSET('[1]Page 29 Data'!$G$17,0,0,COUNTA('[1]Page 29 Data'!$G:$G)-13)</definedName>
    <definedName name="Page_29_70">OFFSET('[2]Page 29 Data'!$G$17,0,0,COUNTA('[2]Page 29 Data'!$G:$G)-13)</definedName>
    <definedName name="Page_29_Date" localSheetId="5">OFFSET('[1]Page 29 Data'!$A$17,0,0,COUNTA('[1]Page 29 Data'!$A:$A)-15)</definedName>
    <definedName name="Page_29_Date">OFFSET('[2]Page 29 Data'!$A$17,0,0,COUNTA('[2]Page 29 Data'!$A:$A)-15)</definedName>
    <definedName name="Page_30_18" localSheetId="5">OFFSET('[1]Page 30 Data'!$B$17,0,0,COUNTA('[1]Page 30 Data'!$B:$B)-13)</definedName>
    <definedName name="Page_30_18">OFFSET('[2]Page 30 Data'!$B$17,0,0,COUNTA('[2]Page 30 Data'!$B:$B)-13)</definedName>
    <definedName name="Page_30_30" localSheetId="5">OFFSET('[1]Page 30 Data'!$C$17,0,0,COUNTA('[1]Page 30 Data'!$C:$C)-13)</definedName>
    <definedName name="Page_30_30">OFFSET('[2]Page 30 Data'!$C$17,0,0,COUNTA('[2]Page 30 Data'!$C:$C)-13)</definedName>
    <definedName name="Page_30_40" localSheetId="5">OFFSET('[1]Page 30 Data'!$D$17,0,0,COUNTA('[1]Page 30 Data'!$D:$D)-13)</definedName>
    <definedName name="Page_30_40">OFFSET('[2]Page 30 Data'!$D$17,0,0,COUNTA('[2]Page 30 Data'!$D:$D)-13)</definedName>
    <definedName name="Page_30_50" localSheetId="5">OFFSET('[1]Page 30 Data'!$E$17,0,0,COUNTA('[1]Page 30 Data'!$E:$E)-13)</definedName>
    <definedName name="Page_30_50">OFFSET('[2]Page 30 Data'!$E$17,0,0,COUNTA('[2]Page 30 Data'!$E:$E)-13)</definedName>
    <definedName name="Page_30_60" localSheetId="5">OFFSET('[1]Page 30 Data'!$F$17,0,0,COUNTA('[1]Page 30 Data'!$F:$F)-13)</definedName>
    <definedName name="Page_30_60">OFFSET('[2]Page 30 Data'!$F$17,0,0,COUNTA('[2]Page 30 Data'!$F:$F)-13)</definedName>
    <definedName name="Page_30_70" localSheetId="5">OFFSET('[1]Page 30 Data'!$G$17,0,0,COUNTA('[1]Page 30 Data'!$G:$G)-13)</definedName>
    <definedName name="Page_30_70">OFFSET('[2]Page 30 Data'!$G$17,0,0,COUNTA('[2]Page 30 Data'!$G:$G)-13)</definedName>
    <definedName name="Page_30_Date" localSheetId="5">OFFSET('[1]Page 30 Data'!$A$17,0,0,COUNTA('[1]Page 30 Data'!$A:$A)-15)</definedName>
    <definedName name="Page_30_Date">OFFSET('[2]Page 30 Data'!$A$17,0,0,COUNTA('[2]Page 30 Data'!$A:$A)-15)</definedName>
    <definedName name="Page10_CCavailable" localSheetId="5">OFFSET('[1]Page 10 Data'!$C$5,0,0,COUNTA('[1]Page 10 Data'!$C:$C)+87)</definedName>
    <definedName name="Page10_CCavailable">OFFSET('[2]Page 10 Data'!$C$5,0,0,COUNTA('[2]Page 10 Data'!$C:$C)+87)</definedName>
    <definedName name="Page10_CCbalance" localSheetId="5">OFFSET('[1]Page 10 Data'!$B$5,0,0,COUNTA('[1]Page 10 Data'!$B:$B)+87)</definedName>
    <definedName name="Page10_CCbalance">OFFSET('[2]Page 10 Data'!$B$5,0,0,COUNTA('[2]Page 10 Data'!$B:$B)+87)</definedName>
    <definedName name="Page10_CClimit" localSheetId="5">OFFSET('[1]Page 10 Data'!$D$5,0,0,COUNTA('[1]Page 10 Data'!$D:$D)+87)</definedName>
    <definedName name="Page10_CClimit">OFFSET('[2]Page 10 Data'!$D$5,0,0,COUNTA('[2]Page 10 Data'!$D:$D)+87)</definedName>
    <definedName name="Page10_Date" localSheetId="5">OFFSET('[1]Page 10 Data'!$A$5,0,0,COUNTA('[1]Page 10 Data'!$A:$A)+89)</definedName>
    <definedName name="Page10_Date">OFFSET('[2]Page 10 Data'!$A$5,0,0,COUNTA('[2]Page 10 Data'!$A:$A)+89)</definedName>
    <definedName name="Page10_HELOC" localSheetId="5">OFFSET('[1]Page 10 Data'!$E$5,0,0,COUNTA('[1]Page 10 Data'!$E:$E)+87)</definedName>
    <definedName name="Page10_HELOC">OFFSET('[2]Page 10 Data'!$E$5,0,0,COUNTA('[2]Page 10 Data'!$E:$E)+87)</definedName>
    <definedName name="Page10_HELOCavailable" localSheetId="5">OFFSET('[1]Page 10 Data'!$F$5,0,0,COUNTA('[1]Page 10 Data'!$F:$F)+87)</definedName>
    <definedName name="Page10_HELOCavailable">OFFSET('[2]Page 10 Data'!$F$5,0,0,COUNTA('[2]Page 10 Data'!$F:$F)+87)</definedName>
    <definedName name="Page10_HELOClimit" localSheetId="5">OFFSET('[1]Page 10 Data'!$G$5,0,0,COUNTA('[1]Page 10 Data'!$G:$G)+87)</definedName>
    <definedName name="Page10_HELOClimit">OFFSET('[2]Page 10 Data'!$G$5,0,0,COUNTA('[2]Page 10 Data'!$G:$G)+87)</definedName>
    <definedName name="Page11_120" localSheetId="5">OFFSET('[1]Page 11 Data'!$F$5,0,0,COUNTA('[1]Page 11 Data'!$F:$F)-1)</definedName>
    <definedName name="Page11_120">OFFSET('[2]Page 11 Data'!$F$5,0,0,COUNTA('[2]Page 11 Data'!$F:$F)-1)</definedName>
    <definedName name="Page11_30" localSheetId="5">OFFSET('[1]Page 11 Data'!$C$5,0,0,COUNTA('[1]Page 11 Data'!$C:$C)-1)</definedName>
    <definedName name="Page11_30">OFFSET('[2]Page 11 Data'!$C$5,0,0,COUNTA('[2]Page 11 Data'!$C:$C)-1)</definedName>
    <definedName name="Page11_60" localSheetId="5">OFFSET('[1]Page 11 Data'!$D$5,0,0,COUNTA('[1]Page 11 Data'!$D:$D)-1)</definedName>
    <definedName name="Page11_60">OFFSET('[2]Page 11 Data'!$D$5,0,0,COUNTA('[2]Page 11 Data'!$D:$D)-1)</definedName>
    <definedName name="Page11_90" localSheetId="5">OFFSET('[1]Page 11 Data'!$E$5,0,0,COUNTA('[1]Page 11 Data'!$E:$E)-1)</definedName>
    <definedName name="Page11_90">OFFSET('[2]Page 11 Data'!$E$5,0,0,COUNTA('[2]Page 11 Data'!$E:$E)-1)</definedName>
    <definedName name="Page11_Current" localSheetId="5">OFFSET('[1]Page 11 Data'!$B$5,0,0,COUNTA('[1]Page 11 Data'!$B:$B)-1)</definedName>
    <definedName name="Page11_Current">OFFSET('[2]Page 11 Data'!$B$5,0,0,COUNTA('[2]Page 11 Data'!$B:$B)-1)</definedName>
    <definedName name="Page11_Date" localSheetId="5">OFFSET('[1]Page 11 Data'!$A$5,0,0,COUNTA('[1]Page 11 Data'!$A:$A)-3)</definedName>
    <definedName name="Page11_Date">OFFSET('[2]Page 11 Data'!$A$5,0,0,COUNTA('[2]Page 11 Data'!$A:$A)-3)</definedName>
    <definedName name="Page11_SD" localSheetId="5">OFFSET('[1]Page 11 Data'!$G$5,0,0,COUNTA('[1]Page 11 Data'!$G:$G)-1)</definedName>
    <definedName name="Page11_SD">OFFSET('[2]Page 11 Data'!$G$5,0,0,COUNTA('[2]Page 11 Data'!$G:$G)-1)</definedName>
    <definedName name="Page12_Auto" localSheetId="5">OFFSET('Delinquent Data 90'!$D$5,0,0,COUNTA('Delinquent Data 90'!$D:$D)-1)</definedName>
    <definedName name="Page12_Auto">OFFSET('[2]Page 12 Data'!$D$5,0,0,COUNTA('[2]Page 12 Data'!$D:$D)-1)</definedName>
    <definedName name="Page12_CC" localSheetId="5">OFFSET('Delinquent Data 90'!$E$5,0,0,COUNTA('Delinquent Data 90'!$E:$E)-1)</definedName>
    <definedName name="Page12_CC">OFFSET('[2]Page 12 Data'!$E$5,0,0,COUNTA('[2]Page 12 Data'!$E:$E)-1)</definedName>
    <definedName name="Page12_Date" localSheetId="5">OFFSET('Delinquent Data 90'!$A$5,0,0,COUNTA('Delinquent Data 90'!$A:$A)-3)</definedName>
    <definedName name="Page12_Date">OFFSET('[2]Page 12 Data'!$A$5,0,0,COUNTA('[2]Page 12 Data'!$A:$A)-3)</definedName>
    <definedName name="Page12_HELOC" localSheetId="5">OFFSET('Delinquent Data 90'!$C$5,0,0,COUNTA('Delinquent Data 90'!$C:$C)-1)</definedName>
    <definedName name="Page12_HELOC">OFFSET('[2]Page 12 Data'!$C$5,0,0,COUNTA('[2]Page 12 Data'!$C:$C)-1)</definedName>
    <definedName name="Page12_Mortgage" localSheetId="5">OFFSET('Delinquent Data 90'!$B$5,0,0,COUNTA('Delinquent Data 90'!$B:$B)-1)</definedName>
    <definedName name="Page12_Mortgage">OFFSET('[2]Page 12 Data'!$B$5,0,0,COUNTA('[2]Page 12 Data'!$B:$B)-1)</definedName>
    <definedName name="Page12_Other" localSheetId="5">OFFSET('Delinquent Data 90'!$H$5,0,0,COUNTA('Delinquent Data 90'!$H:$H)-1)</definedName>
    <definedName name="Page12_Other">OFFSET('[2]Page 12 Data'!$H$5,0,0,COUNTA('[2]Page 12 Data'!$H:$H)-1)</definedName>
    <definedName name="Page12_SL" localSheetId="5">OFFSET('Delinquent Data 90'!$F$5,0,0,COUNTA('Delinquent Data 90'!$F:$F)-1)</definedName>
    <definedName name="Page12_SL">OFFSET('[2]Page 12 Data'!$F$5,0,0,COUNTA('[2]Page 12 Data'!$F:$F)-1)</definedName>
    <definedName name="Page13_Auto" localSheetId="5">OFFSET('[1]Page 13 Data'!$B$6,0,0,COUNTA('[1]Page 13 Data'!$B:$B)-1)</definedName>
    <definedName name="Page13_Auto">OFFSET('[2]Page 13 Data'!$B$6,0,0,COUNTA('[2]Page 13 Data'!$B:$B)-1)</definedName>
    <definedName name="Page13_CC" localSheetId="5">OFFSET('[1]Page 13 Data'!$C$6,0,0,COUNTA('[1]Page 13 Data'!$C:$C)-1)</definedName>
    <definedName name="Page13_CC">OFFSET('[2]Page 13 Data'!$C$6,0,0,COUNTA('[2]Page 13 Data'!$C:$C)-1)</definedName>
    <definedName name="Page13_Date" localSheetId="5">OFFSET('[1]Page 13 Data'!$A$6,0,0,COUNTA('[1]Page 13 Data'!$A:$A)-4)</definedName>
    <definedName name="Page13_Date">OFFSET('[2]Page 13 Data'!$A$6,0,0,COUNTA('[2]Page 13 Data'!$A:$A)-4)</definedName>
    <definedName name="Page13_HELOC" localSheetId="5">OFFSET('[1]Page 13 Data'!$E$6,0,0,COUNTA('[1]Page 13 Data'!$E:$E)-2)</definedName>
    <definedName name="Page13_HELOC">OFFSET('[2]Page 13 Data'!$E$6,0,0,COUNTA('[2]Page 13 Data'!$E:$E)-2)</definedName>
    <definedName name="Page13_Mortgage" localSheetId="5">OFFSET('[1]Page 13 Data'!$D$6,0,0,COUNTA('[1]Page 13 Data'!$D:$D)-1)</definedName>
    <definedName name="Page13_Mortgage">OFFSET('[2]Page 13 Data'!$D$6,0,0,COUNTA('[2]Page 13 Data'!$D:$D)-1)</definedName>
    <definedName name="Page13_Other" localSheetId="5">OFFSET('[1]Page 13 Data'!$G$6,0,0,COUNTA('[1]Page 13 Data'!$G:$G)-1)</definedName>
    <definedName name="Page13_Other">OFFSET('[2]Page 13 Data'!$G$6,0,0,COUNTA('[2]Page 13 Data'!$G:$G)-1)</definedName>
    <definedName name="Page13_SL" localSheetId="5">OFFSET('[1]Page 13 Data'!$F$6,0,0,COUNTA('[1]Page 13 Data'!$F:$F)+3)</definedName>
    <definedName name="Page13_SL">OFFSET('[2]Page 13 Data'!$F$6,0,0,COUNTA('[2]Page 13 Data'!$F:$F)+3)</definedName>
    <definedName name="Page14_Auto" localSheetId="5">OFFSET('[1]Page 14 Data'!$B$6,0,0,COUNTA('[1]Page 14 Data'!$B:$B)-1)</definedName>
    <definedName name="Page14_Auto">OFFSET('[2]Page 14 Data'!$B$6,0,0,COUNTA('[2]Page 14 Data'!$B:$B)-1)</definedName>
    <definedName name="Page14_CC" localSheetId="5">OFFSET('[1]Page 14 Data'!$C$6,0,0,COUNTA('[1]Page 14 Data'!$C:$C)-1)</definedName>
    <definedName name="Page14_CC">OFFSET('[2]Page 14 Data'!$C$6,0,0,COUNTA('[2]Page 14 Data'!$C:$C)-1)</definedName>
    <definedName name="Page14_Date" localSheetId="5">OFFSET('[1]Page 14 Data'!$A$6,0,0,COUNTA('[1]Page 14 Data'!$A:$A)-4)</definedName>
    <definedName name="Page14_Date">OFFSET('[2]Page 14 Data'!$A$6,0,0,COUNTA('[2]Page 14 Data'!$A:$A)-4)</definedName>
    <definedName name="Page14_HELOC" localSheetId="5">OFFSET('[1]Page 14 Data'!$E$6,0,0,COUNTA('[1]Page 14 Data'!$E:$E)-2)</definedName>
    <definedName name="Page14_HELOC">OFFSET('[2]Page 14 Data'!$E$6,0,0,COUNTA('[2]Page 14 Data'!$E:$E)-2)</definedName>
    <definedName name="Page14_Mortgage" localSheetId="5">OFFSET('[1]Page 14 Data'!$D$6,0,0,COUNTA('[1]Page 14 Data'!$D:$D)-1)</definedName>
    <definedName name="Page14_Mortgage">OFFSET('[2]Page 14 Data'!$D$6,0,0,COUNTA('[2]Page 14 Data'!$D:$D)-1)</definedName>
    <definedName name="Page14_Other" localSheetId="5">OFFSET('[1]Page 14 Data'!$G$6,0,0,COUNTA('[1]Page 14 Data'!$G:$G)-1)</definedName>
    <definedName name="Page14_Other">OFFSET('[2]Page 14 Data'!$G$6,0,0,COUNTA('[2]Page 14 Data'!$G:$G)-1)</definedName>
    <definedName name="Page14_SL" localSheetId="5">OFFSET('[1]Page 14 Data'!$F$6,0,0,COUNTA('[1]Page 14 Data'!$F:$F)+3)</definedName>
    <definedName name="Page14_SL">OFFSET('[2]Page 14 Data'!$F$6,0,0,COUNTA('[2]Page 14 Data'!$F:$F)+3)</definedName>
    <definedName name="Page15_3060" localSheetId="5">OFFSET('[1]Page 15 Data'!$B$5,0,0,COUNTA('[1]Page 15 Data'!$B:$B)-1)</definedName>
    <definedName name="Page15_3060">OFFSET('[2]Page 15 Data'!$B$5,0,0,COUNTA('[2]Page 15 Data'!$B:$B)-1)</definedName>
    <definedName name="Page15_90" localSheetId="5">OFFSET('[1]Page 15 Data'!$C$5,0,0,COUNTA('[1]Page 15 Data'!$C:$C)-1)</definedName>
    <definedName name="Page15_90">OFFSET('[2]Page 15 Data'!$C$5,0,0,COUNTA('[2]Page 15 Data'!$C:$C)-1)</definedName>
    <definedName name="Page15_Date" localSheetId="5">OFFSET('[1]Page 15 Data'!$A$5,0,0,COUNTA('[1]Page 15 Data'!$A:$A)-3)</definedName>
    <definedName name="Page15_Date">OFFSET('[2]Page 15 Data'!$A$5,0,0,COUNTA('[2]Page 15 Data'!$A:$A)-3)</definedName>
    <definedName name="Page16_90" localSheetId="5">OFFSET('[1]Page 16 Data'!$C$5,0,0,COUNTA('[1]Page 16 Data'!$C:$C)-1)</definedName>
    <definedName name="Page16_90">OFFSET('[2]Page 16 Data'!$C$5,0,0,COUNTA('[2]Page 16 Data'!$C:$C)-1)</definedName>
    <definedName name="Page16_Current" localSheetId="5">OFFSET('[1]Page 16 Data'!$B$5,0,0,COUNTA('[1]Page 16 Data'!$B:$B)-1)</definedName>
    <definedName name="Page16_Current">OFFSET('[2]Page 16 Data'!$B$5,0,0,COUNTA('[2]Page 16 Data'!$B:$B)-1)</definedName>
    <definedName name="Page16_Date" localSheetId="5">OFFSET('[1]Page 16 Data'!$A$5,0,0,COUNTA('[1]Page 16 Data'!$A:$A)-3)</definedName>
    <definedName name="Page16_Date">OFFSET('[2]Page 16 Data'!$A$5,0,0,COUNTA('[2]Page 16 Data'!$A:$A)-3)</definedName>
    <definedName name="Page17_Bankruptcy" localSheetId="5">OFFSET('[1]Page 17 Data'!$C$5,0,0,COUNTA('[1]Page 17 Data'!$C:$C)-1)</definedName>
    <definedName name="Page17_Bankruptcy">OFFSET('[2]Page 17 Data'!$C$5,0,0,COUNTA('[2]Page 17 Data'!$C:$C)-1)</definedName>
    <definedName name="Page17_Date" localSheetId="5">OFFSET('[1]Page 17 Data'!$A$5,0,0,COUNTA('[1]Page 17 Data'!$A:$A)-3)</definedName>
    <definedName name="Page17_Date">OFFSET('[2]Page 17 Data'!$A$5,0,0,COUNTA('[2]Page 17 Data'!$A:$A)-3)</definedName>
    <definedName name="Page17_Foreclosure" localSheetId="5">OFFSET('[1]Page 17 Data'!$B$5,0,0,COUNTA('[1]Page 17 Data'!$B:$B)-1)</definedName>
    <definedName name="Page17_Foreclosure">OFFSET('[2]Page 17 Data'!$B$5,0,0,COUNTA('[2]Page 17 Data'!$B:$B)-1)</definedName>
    <definedName name="Page18_avgcollection" localSheetId="5">OFFSET('[1]Page 18 Data'!$C$5,0,0,COUNTA('[1]Page 18 Data'!$C:$C)-1)</definedName>
    <definedName name="Page18_avgcollection">OFFSET('[2]Page 18 Data'!$C$5,0,0,COUNTA('[2]Page 18 Data'!$C:$C)-1)</definedName>
    <definedName name="Page18_Date" localSheetId="5">OFFSET('[1]Page 18 Data'!$A$5,0,0,COUNTA('[1]Page 18 Data'!$A:$A)-3)</definedName>
    <definedName name="Page18_Date">OFFSET('[2]Page 18 Data'!$A$5,0,0,COUNTA('[2]Page 18 Data'!$A:$A)-3)</definedName>
    <definedName name="Page18_numcollection" localSheetId="5">OFFSET('[1]Page 18 Data'!$B$5,0,0,COUNTA('[1]Page 18 Data'!$B:$B)-1)</definedName>
    <definedName name="Page18_numcollection">OFFSET('[2]Page 18 Data'!$B$5,0,0,COUNTA('[2]Page 18 Data'!$B:$B)-1)</definedName>
    <definedName name="Page20_Date" localSheetId="5">OFFSET('[1]Page 20 Data'!$A$21,0,0,COUNTA('[1]Page 20 Data'!$A:$A)-19)</definedName>
    <definedName name="Page20_Date">OFFSET('[2]Page 20 Data'!$A$21,0,0,COUNTA('[2]Page 20 Data'!$A:$A)-19)</definedName>
    <definedName name="Page21_Age" localSheetId="5">OFFSET('[1]Page 21 Data'!$B$3,0,0,1,COUNTA('[1]Page 21 Data'!$B$3:E$3))</definedName>
    <definedName name="Page21_Age">OFFSET('[2]Page 21 Data'!$B$3,0,0,1,COUNTA('[2]Page 21 Data'!$B$3:E$3))</definedName>
    <definedName name="Page21_Auto" localSheetId="5">OFFSET('[1]Page 21 Data'!#REF!,0,0,1,COUNTA('[1]Page 21 Data'!#REF!))</definedName>
    <definedName name="Page21_Auto">OFFSET('[2]Page 21 Data'!#REF!,0,0,1,COUNTA('[2]Page 21 Data'!#REF!))</definedName>
    <definedName name="Page21_CC" localSheetId="5">OFFSET('[1]Page 21 Data'!#REF!,0,0,1,COUNTA('[1]Page 21 Data'!#REF!))</definedName>
    <definedName name="Page21_CC">OFFSET('[2]Page 21 Data'!#REF!,0,0,1,COUNTA('[2]Page 21 Data'!#REF!))</definedName>
    <definedName name="Page21_HELOC" localSheetId="5">OFFSET('[1]Page 21 Data'!#REF!,0,0,1,COUNTA('[1]Page 21 Data'!#REF!))</definedName>
    <definedName name="Page21_HELOC">OFFSET('[2]Page 21 Data'!#REF!,0,0,1,COUNTA('[2]Page 21 Data'!#REF!))</definedName>
    <definedName name="Page21_Mortgage" localSheetId="5">OFFSET('[1]Page 21 Data'!#REF!,0,0,1,COUNTA('[1]Page 21 Data'!#REF!))</definedName>
    <definedName name="Page21_Mortgage">OFFSET('[2]Page 21 Data'!#REF!,0,0,1,COUNTA('[2]Page 21 Data'!#REF!))</definedName>
    <definedName name="Page21_Other" localSheetId="5">OFFSET('[1]Page 21 Data'!#REF!,0,0,1,COUNTA('[1]Page 21 Data'!#REF!))</definedName>
    <definedName name="Page21_Other">OFFSET('[2]Page 21 Data'!#REF!,0,0,1,COUNTA('[2]Page 21 Data'!#REF!))</definedName>
    <definedName name="Page21_SL" localSheetId="5">OFFSET('[1]Page 21 Data'!#REF!,0,0,1,COUNTA('[1]Page 21 Data'!#REF!))</definedName>
    <definedName name="Page21_SL">OFFSET('[2]Page 21 Data'!#REF!,0,0,1,COUNTA('[2]Page 21 Data'!#REF!))</definedName>
    <definedName name="Page3_Auto" localSheetId="5">OFFSET('[1]Page 3 Data'!$D$5,0,0,COUNTA('[1]Page 3 Data'!$D:$D)-1)</definedName>
    <definedName name="Page3_Auto">OFFSET('[2]Page 3 Data'!$D$5,0,0,COUNTA('[2]Page 3 Data'!$D:$D)-1)</definedName>
    <definedName name="Page3_CC" localSheetId="5">OFFSET('[1]Page 3 Data'!$E$5,0,0,COUNTA('[1]Page 3 Data'!$E:$E)-1)</definedName>
    <definedName name="Page3_CC">OFFSET('[2]Page 3 Data'!$E$5,0,0,COUNTA('[2]Page 3 Data'!$E:$E)-1)</definedName>
    <definedName name="Page3_Date" localSheetId="5">OFFSET('[1]Page 3 Data'!$A$5,0,0,COUNTA('[1]Page 3 Data'!$A:$A)-3)</definedName>
    <definedName name="Page3_Date">OFFSET('[2]Page 3 Data'!$A$5,0,0,COUNTA('[2]Page 3 Data'!$A:$A)-3)</definedName>
    <definedName name="Page3_HELOC" localSheetId="5">OFFSET('[1]Page 3 Data'!$C$5,0,0,COUNTA('[1]Page 3 Data'!$C:$C)-1)</definedName>
    <definedName name="Page3_HELOC">OFFSET('[2]Page 3 Data'!$C$5,0,0,COUNTA('[2]Page 3 Data'!$C:$C)-1)</definedName>
    <definedName name="Page3_Mortgage" localSheetId="5">OFFSET('[1]Page 3 Data'!$B$5,0,0,COUNTA('[1]Page 3 Data'!$B:$B)-1)</definedName>
    <definedName name="Page3_Mortgage">OFFSET('[2]Page 3 Data'!$B$5,0,0,COUNTA('[2]Page 3 Data'!$B:$B)-1)</definedName>
    <definedName name="Page3_Other" localSheetId="5">OFFSET('[1]Page 3 Data'!$G$5,0,0,COUNTA('[1]Page 3 Data'!$G:$G)-1)</definedName>
    <definedName name="Page3_Other">OFFSET('[2]Page 3 Data'!$G$5,0,0,COUNTA('[2]Page 3 Data'!$G:$G)-1)</definedName>
    <definedName name="Page3_SL" localSheetId="5">OFFSET('[1]Page 3 Data'!$F$5,0,0,COUNTA('[1]Page 3 Data'!$F:$F)-1)</definedName>
    <definedName name="Page3_SL">OFFSET('[2]Page 3 Data'!$F$5,0,0,COUNTA('[2]Page 3 Data'!$F:$F)-1)</definedName>
    <definedName name="Page3_Total" localSheetId="5">OFFSET('[1]Page 3 Data'!$H$5,0,0,COUNTA('[1]Page 3 Data'!$H:$H)-1)</definedName>
    <definedName name="Page3_Total">OFFSET('[2]Page 3 Data'!$H$5,0,0,COUNTA('[2]Page 3 Data'!$H:$H)-1)</definedName>
    <definedName name="Page32_All" localSheetId="5">OFFSET('[1]Page 32 Data'!$B$15,0,0,1,COUNTA('[1]Page 32 Data'!$B$15:YG$15))</definedName>
    <definedName name="Page32_All">OFFSET('[2]Page 32 Data'!$B$15,0,0,1,COUNTA('[2]Page 32 Data'!$B$15:YG$15))</definedName>
    <definedName name="Page32_AZ" localSheetId="5">OFFSET('[1]Page 32 Data'!$B$4,0,0,1,COUNTA('[1]Page 32 Data'!$B$4:YG$4))</definedName>
    <definedName name="Page32_AZ">OFFSET('[2]Page 32 Data'!$B$4,0,0,1,COUNTA('[2]Page 32 Data'!$B$4:YG$4))</definedName>
    <definedName name="Page32_CA" localSheetId="5">OFFSET('[1]Page 32 Data'!$B$5,0,0,1,COUNTA('[1]Page 32 Data'!$B$5:YG$5))</definedName>
    <definedName name="Page32_CA">OFFSET('[2]Page 32 Data'!$B$5,0,0,1,COUNTA('[2]Page 32 Data'!$B$5:YG$5))</definedName>
    <definedName name="Page32_Date" localSheetId="5">OFFSET('[1]Page 32 Data'!$B$3,0,0,1,COUNTA('[1]Page 32 Data'!$B$3:YG$3))</definedName>
    <definedName name="Page32_Date">OFFSET('[2]Page 32 Data'!$B$3,0,0,1,COUNTA('[2]Page 32 Data'!$B$3:YG$3))</definedName>
    <definedName name="Page32_FL" localSheetId="5">OFFSET('[1]Page 32 Data'!$B$6,0,0,1,COUNTA('[1]Page 32 Data'!$B$6:YG$6))</definedName>
    <definedName name="Page32_FL">OFFSET('[2]Page 32 Data'!$B$6,0,0,1,COUNTA('[2]Page 32 Data'!$B$6:YG$6))</definedName>
    <definedName name="Page32_IL" localSheetId="5">OFFSET('[1]Page 32 Data'!$B$7,0,0,1,COUNTA('[1]Page 32 Data'!$B$7:YG$7))</definedName>
    <definedName name="Page32_IL">OFFSET('[2]Page 32 Data'!$B$7,0,0,1,COUNTA('[2]Page 32 Data'!$B$7:YG$7))</definedName>
    <definedName name="Page32_MI" localSheetId="5">OFFSET('[1]Page 32 Data'!$B$8,0,0,1,COUNTA('[1]Page 32 Data'!$B$8:YG$8))</definedName>
    <definedName name="Page32_MI">OFFSET('[2]Page 32 Data'!$B$8,0,0,1,COUNTA('[2]Page 32 Data'!$B$8:YG$8))</definedName>
    <definedName name="Page32_NJ" localSheetId="5">OFFSET('[1]Page 32 Data'!$B$9,0,0,1,COUNTA('[1]Page 32 Data'!$B$9:YG$9))</definedName>
    <definedName name="Page32_NJ">OFFSET('[2]Page 32 Data'!$B$9,0,0,1,COUNTA('[2]Page 32 Data'!$B$9:YG$9))</definedName>
    <definedName name="Page32_NV" localSheetId="5">OFFSET('[1]Page 32 Data'!$B$10,0,0,1,COUNTA('[1]Page 32 Data'!$B$10:YG$10))</definedName>
    <definedName name="Page32_NV">OFFSET('[2]Page 32 Data'!$B$10,0,0,1,COUNTA('[2]Page 32 Data'!$B$10:YG$10))</definedName>
    <definedName name="Page32_NY" localSheetId="5">OFFSET('[1]Page 32 Data'!$B$11,0,0,1,COUNTA('[1]Page 32 Data'!$B$11:YG$11))</definedName>
    <definedName name="Page32_NY">OFFSET('[2]Page 32 Data'!$B$11,0,0,1,COUNTA('[2]Page 32 Data'!$B$11:YG$11))</definedName>
    <definedName name="Page32_OH" localSheetId="5">OFFSET('[1]Page 32 Data'!$B$12,0,0,1,COUNTA('[1]Page 32 Data'!$B$12:YG$12))</definedName>
    <definedName name="Page32_OH">OFFSET('[2]Page 32 Data'!$B$12,0,0,1,COUNTA('[2]Page 32 Data'!$B$12:YG$12))</definedName>
    <definedName name="Page32_PA" localSheetId="5">OFFSET('[1]Page 32 Data'!$B$13,0,0,1,COUNTA('[1]Page 32 Data'!$B$13:YG$13))</definedName>
    <definedName name="Page32_PA">OFFSET('[2]Page 32 Data'!$B$13,0,0,1,COUNTA('[2]Page 32 Data'!$B$13:YG$13))</definedName>
    <definedName name="Page32_TX" localSheetId="5">OFFSET('[1]Page 32 Data'!$B$14,0,0,1,COUNTA('[1]Page 32 Data'!$B$14:YG$14))</definedName>
    <definedName name="Page32_TX">OFFSET('[2]Page 32 Data'!$B$14,0,0,1,COUNTA('[2]Page 32 Data'!$B$14:YG$14))</definedName>
    <definedName name="Page33_Auto" localSheetId="5">OFFSET('[1]Page 33 Data'!$D$4,0,0,COUNTA('[1]Page 33 Data'!$D:$D)-1)</definedName>
    <definedName name="Page33_Auto">OFFSET('[2]Page 33 Data'!$D$4,0,0,COUNTA('[2]Page 33 Data'!$D:$D)-1)</definedName>
    <definedName name="Page33_CC" localSheetId="5">OFFSET('[1]Page 33 Data'!$E$4,0,0,COUNTA('[1]Page 33 Data'!$E:$E)-1)</definedName>
    <definedName name="Page33_CC">OFFSET('[2]Page 33 Data'!$E$4,0,0,COUNTA('[2]Page 33 Data'!$E:$E)-1)</definedName>
    <definedName name="Page33_HELOC" localSheetId="5">OFFSET('[1]Page 33 Data'!$C$4,0,0,COUNTA('[1]Page 33 Data'!$C:$C)-1)</definedName>
    <definedName name="Page33_HELOC">OFFSET('[2]Page 33 Data'!$C$4,0,0,COUNTA('[2]Page 33 Data'!$C:$C)-1)</definedName>
    <definedName name="Page33_Mortgage" localSheetId="5">OFFSET('[1]Page 33 Data'!$B$4,0,0,COUNTA('[1]Page 33 Data'!$B:$B)-1)</definedName>
    <definedName name="Page33_Mortgage">OFFSET('[2]Page 33 Data'!$B$4,0,0,COUNTA('[2]Page 33 Data'!$B:$B)-1)</definedName>
    <definedName name="Page33_Other" localSheetId="5">OFFSET('[1]Page 33 Data'!$G$4,0,0,COUNTA('[1]Page 33 Data'!$G:$G)-1)</definedName>
    <definedName name="Page33_Other">OFFSET('[2]Page 33 Data'!$G$4,0,0,COUNTA('[2]Page 33 Data'!$G:$G)-1)</definedName>
    <definedName name="Page33_SL" localSheetId="5">OFFSET('[1]Page 33 Data'!$F$4,0,0,COUNTA('[1]Page 33 Data'!$F:$F)-1)</definedName>
    <definedName name="Page33_SL">OFFSET('[2]Page 33 Data'!$F$4,0,0,COUNTA('[2]Page 33 Data'!$F:$F)-1)</definedName>
    <definedName name="Page33_State" localSheetId="5">OFFSET('[1]Page 33 Data'!$A$4,0,0,COUNTA('[1]Page 33 Data'!$A:$A)-5)</definedName>
    <definedName name="Page33_State">OFFSET('[2]Page 33 Data'!$A$4,0,0,COUNTA('[2]Page 33 Data'!$A:$A)-5)</definedName>
    <definedName name="Page34_120" localSheetId="5">OFFSET('[1]Page 34 Data'!$F$4,0,0,COUNTA('[1]Page 34 Data'!$F:$F)-1)</definedName>
    <definedName name="Page34_120">OFFSET('[2]Page 34 Data'!$F$4,0,0,COUNTA('[2]Page 34 Data'!$F:$F)-1)</definedName>
    <definedName name="Page34_30" localSheetId="5">OFFSET('[1]Page 34 Data'!$C$4,0,0,COUNTA('[1]Page 34 Data'!$C:$C)-1)</definedName>
    <definedName name="Page34_30">OFFSET('[2]Page 34 Data'!$C$4,0,0,COUNTA('[2]Page 34 Data'!$C:$C)-1)</definedName>
    <definedName name="Page34_60" localSheetId="5">OFFSET('[1]Page 34 Data'!$D$4,0,0,COUNTA('[1]Page 34 Data'!$D:$D)-1)</definedName>
    <definedName name="Page34_60">OFFSET('[2]Page 34 Data'!$D$4,0,0,COUNTA('[2]Page 34 Data'!$D:$D)-1)</definedName>
    <definedName name="Page34_90" localSheetId="5">OFFSET('[1]Page 34 Data'!$E$4,0,0,COUNTA('[1]Page 34 Data'!$E:$E)-1)</definedName>
    <definedName name="Page34_90">OFFSET('[2]Page 34 Data'!$E$4,0,0,COUNTA('[2]Page 34 Data'!$E:$E)-1)</definedName>
    <definedName name="Page34_Current" localSheetId="5">OFFSET('[1]Page 34 Data'!$B$4,0,0,COUNTA('[1]Page 34 Data'!$B:$B)-1)</definedName>
    <definedName name="Page34_Current">OFFSET('[2]Page 34 Data'!$B$4,0,0,COUNTA('[2]Page 34 Data'!$B:$B)-1)</definedName>
    <definedName name="Page34_Severe" localSheetId="5">OFFSET('[1]Page 34 Data'!$G$4,0,0,COUNTA('[1]Page 34 Data'!$G:$G)-1)</definedName>
    <definedName name="Page34_Severe">OFFSET('[2]Page 34 Data'!$G$4,0,0,COUNTA('[2]Page 34 Data'!$G:$G)-1)</definedName>
    <definedName name="Page34_State" localSheetId="5">OFFSET('[1]Page 34 Data'!$A$4,0,0,COUNTA('[1]Page 34 Data'!$A:$A)-5)</definedName>
    <definedName name="Page34_State">OFFSET('[2]Page 34 Data'!$A$4,0,0,COUNTA('[2]Page 34 Data'!$A:$A)-5)</definedName>
    <definedName name="Page35_All" localSheetId="5">OFFSET('[1]Page 35 Data'!$B$15,0,0,1,COUNTA('[1]Page 35 Data'!$B$15:YH$15))</definedName>
    <definedName name="Page35_All">OFFSET('[2]Page 35 Data'!$B$15,0,0,1,COUNTA('[2]Page 35 Data'!$B$15:YH$15))</definedName>
    <definedName name="Page35_AZ" localSheetId="5">OFFSET('[1]Page 35 Data'!$B$4,0,0,1,COUNTA('[1]Page 35 Data'!$B$4:YH$4))</definedName>
    <definedName name="Page35_AZ">OFFSET('[2]Page 35 Data'!$B$4,0,0,1,COUNTA('[2]Page 35 Data'!$B$4:YH$4))</definedName>
    <definedName name="Page35_CA" localSheetId="5">OFFSET('[1]Page 35 Data'!$B$5,0,0,1,COUNTA('[1]Page 35 Data'!$B$5:YH$5))</definedName>
    <definedName name="Page35_CA">OFFSET('[2]Page 35 Data'!$B$5,0,0,1,COUNTA('[2]Page 35 Data'!$B$5:YH$5))</definedName>
    <definedName name="Page35_Date" localSheetId="5">OFFSET('[1]Page 35 Data'!$B$3,0,0,1,COUNTA('[1]Page 35 Data'!$B$3:YH$3))</definedName>
    <definedName name="Page35_Date">OFFSET('[2]Page 35 Data'!$B$3,0,0,1,COUNTA('[2]Page 35 Data'!$B$3:YH$3))</definedName>
    <definedName name="Page35_FL" localSheetId="5">OFFSET('[1]Page 35 Data'!$B$6,0,0,1,COUNTA('[1]Page 35 Data'!$B$6:YH$6))</definedName>
    <definedName name="Page35_FL">OFFSET('[2]Page 35 Data'!$B$6,0,0,1,COUNTA('[2]Page 35 Data'!$B$6:YH$6))</definedName>
    <definedName name="Page35_IL" localSheetId="5">OFFSET('[1]Page 35 Data'!$B$7,0,0,1,COUNTA('[1]Page 35 Data'!$B$7:YH$7))</definedName>
    <definedName name="Page35_IL">OFFSET('[2]Page 35 Data'!$B$7,0,0,1,COUNTA('[2]Page 35 Data'!$B$7:YH$7))</definedName>
    <definedName name="Page35_MI" localSheetId="5">OFFSET('[1]Page 35 Data'!$B$8,0,0,1,COUNTA('[1]Page 35 Data'!$B$8:YH$8))</definedName>
    <definedName name="Page35_MI">OFFSET('[2]Page 35 Data'!$B$8,0,0,1,COUNTA('[2]Page 35 Data'!$B$8:YH$8))</definedName>
    <definedName name="Page35_NJ" localSheetId="5">OFFSET('[1]Page 35 Data'!$B$9,0,0,1,COUNTA('[1]Page 35 Data'!$B$9:YH$9))</definedName>
    <definedName name="Page35_NJ">OFFSET('[2]Page 35 Data'!$B$9,0,0,1,COUNTA('[2]Page 35 Data'!$B$9:YH$9))</definedName>
    <definedName name="Page35_NV" localSheetId="5">OFFSET('[1]Page 35 Data'!$B$10,0,0,1,COUNTA('[1]Page 35 Data'!$B$10:YH$10))</definedName>
    <definedName name="Page35_NV">OFFSET('[2]Page 35 Data'!$B$10,0,0,1,COUNTA('[2]Page 35 Data'!$B$10:YH$10))</definedName>
    <definedName name="Page35_NY" localSheetId="5">OFFSET('[1]Page 35 Data'!$B$11,0,0,1,COUNTA('[1]Page 35 Data'!$B$11:YH$11))</definedName>
    <definedName name="Page35_NY">OFFSET('[2]Page 35 Data'!$B$11,0,0,1,COUNTA('[2]Page 35 Data'!$B$11:YH$11))</definedName>
    <definedName name="Page35_OH" localSheetId="5">OFFSET('[1]Page 35 Data'!$B$12,0,0,1,COUNTA('[1]Page 35 Data'!$B$12:YH$12))</definedName>
    <definedName name="Page35_OH">OFFSET('[2]Page 35 Data'!$B$12,0,0,1,COUNTA('[2]Page 35 Data'!$B$12:YH$12))</definedName>
    <definedName name="Page35_PA" localSheetId="5">OFFSET('[1]Page 35 Data'!$B$13,0,0,1,COUNTA('[1]Page 35 Data'!$B$13:YH$13))</definedName>
    <definedName name="Page35_PA">OFFSET('[2]Page 35 Data'!$B$13,0,0,1,COUNTA('[2]Page 35 Data'!$B$13:YH$13))</definedName>
    <definedName name="Page35_TX" localSheetId="5">OFFSET('[1]Page 35 Data'!$B$14,0,0,1,COUNTA('[1]Page 35 Data'!$B$14:YH$14))</definedName>
    <definedName name="Page35_TX">OFFSET('[2]Page 35 Data'!$B$14,0,0,1,COUNTA('[2]Page 35 Data'!$B$14:YH$14))</definedName>
    <definedName name="Page36_All" localSheetId="5">OFFSET('[1]Page 36 Data'!$B$15,0,0,1,COUNTA('[1]Page 36 Data'!$B$15:YH$15))</definedName>
    <definedName name="Page36_All">OFFSET('[2]Page 36 Data'!$B$15,0,0,1,COUNTA('[2]Page 36 Data'!$B$15:YH$15))</definedName>
    <definedName name="Page36_AZ" localSheetId="5">OFFSET('[1]Page 36 Data'!$B$4,0,0,1,COUNTA('[1]Page 36 Data'!$B$4:YH$4))</definedName>
    <definedName name="Page36_AZ">OFFSET('[2]Page 36 Data'!$B$4,0,0,1,COUNTA('[2]Page 36 Data'!$B$4:YH$4))</definedName>
    <definedName name="Page36_CA" localSheetId="5">OFFSET('[1]Page 36 Data'!$B$5,0,0,1,COUNTA('[1]Page 36 Data'!$B$5:YH$5))</definedName>
    <definedName name="Page36_CA">OFFSET('[2]Page 36 Data'!$B$5,0,0,1,COUNTA('[2]Page 36 Data'!$B$5:YH$5))</definedName>
    <definedName name="Page36_Date" localSheetId="5">OFFSET('[1]Page 36 Data'!$B$3,0,0,1,COUNTA('[1]Page 36 Data'!$B$3:YH$3))</definedName>
    <definedName name="Page36_Date">OFFSET('[2]Page 36 Data'!$B$3,0,0,1,COUNTA('[2]Page 36 Data'!$B$3:YH$3))</definedName>
    <definedName name="Page36_FL" localSheetId="5">OFFSET('[1]Page 36 Data'!$B$6,0,0,1,COUNTA('[1]Page 36 Data'!$B$6:YH$6))</definedName>
    <definedName name="Page36_FL">OFFSET('[2]Page 36 Data'!$B$6,0,0,1,COUNTA('[2]Page 36 Data'!$B$6:YH$6))</definedName>
    <definedName name="Page36_IL" localSheetId="5">OFFSET('[1]Page 36 Data'!$B$7,0,0,1,COUNTA('[1]Page 36 Data'!$B$7:YH$7))</definedName>
    <definedName name="Page36_IL">OFFSET('[2]Page 36 Data'!$B$7,0,0,1,COUNTA('[2]Page 36 Data'!$B$7:YH$7))</definedName>
    <definedName name="Page36_MI" localSheetId="5">OFFSET('[1]Page 36 Data'!$B$8,0,0,1,COUNTA('[1]Page 36 Data'!$B$8:YH$8))</definedName>
    <definedName name="Page36_MI">OFFSET('[2]Page 36 Data'!$B$8,0,0,1,COUNTA('[2]Page 36 Data'!$B$8:YH$8))</definedName>
    <definedName name="Page36_NJ" localSheetId="5">OFFSET('[1]Page 36 Data'!$B$9,0,0,1,COUNTA('[1]Page 36 Data'!$B$9:YH$9))</definedName>
    <definedName name="Page36_NJ">OFFSET('[2]Page 36 Data'!$B$9,0,0,1,COUNTA('[2]Page 36 Data'!$B$9:YH$9))</definedName>
    <definedName name="Page36_NV" localSheetId="5">OFFSET('[1]Page 36 Data'!$B$10,0,0,1,COUNTA('[1]Page 36 Data'!$B$10:YH$10))</definedName>
    <definedName name="Page36_NV">OFFSET('[2]Page 36 Data'!$B$10,0,0,1,COUNTA('[2]Page 36 Data'!$B$10:YH$10))</definedName>
    <definedName name="Page36_NY" localSheetId="5">OFFSET('[1]Page 36 Data'!$B$11,0,0,1,COUNTA('[1]Page 36 Data'!$B$11:YH$11))</definedName>
    <definedName name="Page36_NY">OFFSET('[2]Page 36 Data'!$B$11,0,0,1,COUNTA('[2]Page 36 Data'!$B$11:YH$11))</definedName>
    <definedName name="Page36_OH" localSheetId="5">OFFSET('[1]Page 36 Data'!$B$12,0,0,1,COUNTA('[1]Page 36 Data'!$B$12:YH$12))</definedName>
    <definedName name="Page36_OH">OFFSET('[2]Page 36 Data'!$B$12,0,0,1,COUNTA('[2]Page 36 Data'!$B$12:YH$12))</definedName>
    <definedName name="Page36_PA" localSheetId="5">OFFSET('[1]Page 36 Data'!$B$13,0,0,1,COUNTA('[1]Page 36 Data'!$B$13:YH$13))</definedName>
    <definedName name="Page36_PA">OFFSET('[2]Page 36 Data'!$B$13,0,0,1,COUNTA('[2]Page 36 Data'!$B$13:YH$13))</definedName>
    <definedName name="Page36_TX" localSheetId="5">OFFSET('[1]Page 36 Data'!$B$14,0,0,1,COUNTA('[1]Page 36 Data'!$B$14:YH$14))</definedName>
    <definedName name="Page36_TX">OFFSET('[2]Page 36 Data'!$B$14,0,0,1,COUNTA('[2]Page 36 Data'!$B$14:YH$14))</definedName>
    <definedName name="Page37_AZ" localSheetId="5">OFFSET('[1]Page 37 Data'!$B$5,0,0,1,COUNTA('[1]Page 37 Data'!$B$5:YH$5))</definedName>
    <definedName name="Page37_AZ">OFFSET('[2]Page 37 Data'!$B$5,0,0,1,COUNTA('[2]Page 37 Data'!$B$5:YH$5))</definedName>
    <definedName name="Page37_CA" localSheetId="5">OFFSET('[1]Page 37 Data'!$B$6,0,0,1,COUNTA('[1]Page 37 Data'!$B$6:YH$6))</definedName>
    <definedName name="Page37_CA">OFFSET('[2]Page 37 Data'!$B$6,0,0,1,COUNTA('[2]Page 37 Data'!$B$6:YH$6))</definedName>
    <definedName name="Page37_Date" localSheetId="5">OFFSET('[1]Page 37 Data'!$B$4,0,0,1,COUNTA('[1]Page 37 Data'!$B$4:YH$4))</definedName>
    <definedName name="Page37_Date">OFFSET('[2]Page 37 Data'!$B$4,0,0,1,COUNTA('[2]Page 37 Data'!$B$4:YH$4))</definedName>
    <definedName name="Page37_FL" localSheetId="5">OFFSET('[1]Page 37 Data'!$B$7,0,0,1,COUNTA('[1]Page 37 Data'!$B$7:YH$7))</definedName>
    <definedName name="Page37_FL">OFFSET('[2]Page 37 Data'!$B$7,0,0,1,COUNTA('[2]Page 37 Data'!$B$7:YH$7))</definedName>
    <definedName name="Page37_IL" localSheetId="5">OFFSET('[1]Page 37 Data'!$B$8,0,0,1,COUNTA('[1]Page 37 Data'!$B$8:YH$8))</definedName>
    <definedName name="Page37_IL">OFFSET('[2]Page 37 Data'!$B$8,0,0,1,COUNTA('[2]Page 37 Data'!$B$8:YH$8))</definedName>
    <definedName name="Page37_MI" localSheetId="5">OFFSET('[1]Page 37 Data'!$B$9,0,0,1,COUNTA('[1]Page 37 Data'!$B$9:YH$9))</definedName>
    <definedName name="Page37_MI">OFFSET('[2]Page 37 Data'!$B$9,0,0,1,COUNTA('[2]Page 37 Data'!$B$9:YH$9))</definedName>
    <definedName name="Page37_NJ" localSheetId="5">OFFSET('[1]Page 37 Data'!$B$10,0,0,1,COUNTA('[1]Page 37 Data'!$B$10:YH$10))</definedName>
    <definedName name="Page37_NJ">OFFSET('[2]Page 37 Data'!$B$10,0,0,1,COUNTA('[2]Page 37 Data'!$B$10:YH$10))</definedName>
    <definedName name="Page37_NV" localSheetId="5">OFFSET('[1]Page 37 Data'!$B$11,0,0,1,COUNTA('[1]Page 37 Data'!$B$11:YH$11))</definedName>
    <definedName name="Page37_NV">OFFSET('[2]Page 37 Data'!$B$11,0,0,1,COUNTA('[2]Page 37 Data'!$B$11:YH$11))</definedName>
    <definedName name="Page37_NY" localSheetId="5">OFFSET('[1]Page 37 Data'!$B$12,0,0,1,COUNTA('[1]Page 37 Data'!$B$12:YH$12))</definedName>
    <definedName name="Page37_NY">OFFSET('[2]Page 37 Data'!$B$12,0,0,1,COUNTA('[2]Page 37 Data'!$B$12:YH$12))</definedName>
    <definedName name="Page37_OH" localSheetId="5">OFFSET('[1]Page 37 Data'!$B$13,0,0,1,COUNTA('[1]Page 37 Data'!$B$13:YH$13))</definedName>
    <definedName name="Page37_OH">OFFSET('[2]Page 37 Data'!$B$13,0,0,1,COUNTA('[2]Page 37 Data'!$B$13:YH$13))</definedName>
    <definedName name="Page37_PA" localSheetId="5">OFFSET('[1]Page 37 Data'!$B$14,0,0,1,COUNTA('[1]Page 37 Data'!$B$14:YH$14))</definedName>
    <definedName name="Page37_PA">OFFSET('[2]Page 37 Data'!$B$14,0,0,1,COUNTA('[2]Page 37 Data'!$B$14:YH$14))</definedName>
    <definedName name="Page37_TX" localSheetId="5">OFFSET('[1]Page 37 Data'!$B$15,0,0,1,COUNTA('[1]Page 37 Data'!$B$15:YH$15))</definedName>
    <definedName name="Page37_TX">OFFSET('[2]Page 37 Data'!$B$15,0,0,1,COUNTA('[2]Page 37 Data'!$B$15:YH$15))</definedName>
    <definedName name="Page37_US" localSheetId="5">OFFSET('[1]Page 37 Data'!$B$16,0,0,1,COUNTA('[1]Page 37 Data'!$B$16:YH$16))</definedName>
    <definedName name="Page37_US">OFFSET('[2]Page 37 Data'!$B$16,0,0,1,COUNTA('[2]Page 37 Data'!$B$16:YH$16))</definedName>
    <definedName name="Page38_AZ" localSheetId="5">OFFSET('[1]Page 38 Data'!$B$4,0,0,1,COUNTA('[1]Page 38 Data'!$B$4:YH$4))</definedName>
    <definedName name="Page38_AZ">OFFSET('[2]Page 38 Data'!$B$4,0,0,1,COUNTA('[2]Page 38 Data'!$B$4:YH$4))</definedName>
    <definedName name="Page38_CA" localSheetId="5">OFFSET('[1]Page 38 Data'!$B$5,0,0,1,COUNTA('[1]Page 38 Data'!$B$5:YH$5))</definedName>
    <definedName name="Page38_CA">OFFSET('[2]Page 38 Data'!$B$5,0,0,1,COUNTA('[2]Page 38 Data'!$B$5:YH$5))</definedName>
    <definedName name="Page38_Date" localSheetId="5">OFFSET('[1]Page 38 Data'!$B$3,0,0,1,COUNTA('[1]Page 38 Data'!$B$3:YH$3))</definedName>
    <definedName name="Page38_Date">OFFSET('[2]Page 38 Data'!$B$3,0,0,1,COUNTA('[2]Page 38 Data'!$B$3:YH$3))</definedName>
    <definedName name="Page38_FL" localSheetId="5">OFFSET('[1]Page 38 Data'!$B$6,0,0,1,COUNTA('[1]Page 38 Data'!$B$6:YH$6))</definedName>
    <definedName name="Page38_FL">OFFSET('[2]Page 38 Data'!$B$6,0,0,1,COUNTA('[2]Page 38 Data'!$B$6:YH$6))</definedName>
    <definedName name="Page38_IL" localSheetId="5">OFFSET('[1]Page 38 Data'!$B$7,0,0,1,COUNTA('[1]Page 38 Data'!$B$7:YH$7))</definedName>
    <definedName name="Page38_IL">OFFSET('[2]Page 38 Data'!$B$7,0,0,1,COUNTA('[2]Page 38 Data'!$B$7:YH$7))</definedName>
    <definedName name="Page38_MI" localSheetId="5">OFFSET('[1]Page 38 Data'!$B$8,0,0,1,COUNTA('[1]Page 38 Data'!$B$8:YH$8))</definedName>
    <definedName name="Page38_MI">OFFSET('[2]Page 38 Data'!$B$8,0,0,1,COUNTA('[2]Page 38 Data'!$B$8:YH$8))</definedName>
    <definedName name="Page38_NJ" localSheetId="5">OFFSET('[1]Page 38 Data'!$B$9,0,0,1,COUNTA('[1]Page 38 Data'!$B$9:YH$9))</definedName>
    <definedName name="Page38_NJ">OFFSET('[2]Page 38 Data'!$B$9,0,0,1,COUNTA('[2]Page 38 Data'!$B$9:YH$9))</definedName>
    <definedName name="Page38_NV" localSheetId="5">OFFSET('[1]Page 38 Data'!$B$10,0,0,1,COUNTA('[1]Page 38 Data'!$B$10:YH$10))</definedName>
    <definedName name="Page38_NV">OFFSET('[2]Page 38 Data'!$B$10,0,0,1,COUNTA('[2]Page 38 Data'!$B$10:YH$10))</definedName>
    <definedName name="Page38_NY" localSheetId="5">OFFSET('[1]Page 38 Data'!$B$11,0,0,1,COUNTA('[1]Page 38 Data'!$B$11:YH$11))</definedName>
    <definedName name="Page38_NY">OFFSET('[2]Page 38 Data'!$B$11,0,0,1,COUNTA('[2]Page 38 Data'!$B$11:YH$11))</definedName>
    <definedName name="Page38_OH" localSheetId="5">OFFSET('[1]Page 38 Data'!$B$12,0,0,1,COUNTA('[1]Page 38 Data'!$B$12:YH$12))</definedName>
    <definedName name="Page38_OH">OFFSET('[2]Page 38 Data'!$B$12,0,0,1,COUNTA('[2]Page 38 Data'!$B$12:YH$12))</definedName>
    <definedName name="Page38_PA" localSheetId="5">OFFSET('[1]Page 38 Data'!$B$13,0,0,1,COUNTA('[1]Page 38 Data'!$B$13:YH$13))</definedName>
    <definedName name="Page38_PA">OFFSET('[2]Page 38 Data'!$B$13,0,0,1,COUNTA('[2]Page 38 Data'!$B$13:YH$13))</definedName>
    <definedName name="Page38_TX" localSheetId="5">OFFSET('[1]Page 38 Data'!$B$14,0,0,1,COUNTA('[1]Page 38 Data'!$B$14:YH$14))</definedName>
    <definedName name="Page38_TX">OFFSET('[2]Page 38 Data'!$B$14,0,0,1,COUNTA('[2]Page 38 Data'!$B$14:YH$14))</definedName>
    <definedName name="Page38_US" localSheetId="5">OFFSET('[1]Page 38 Data'!$B$15,0,0,1,COUNTA('[1]Page 38 Data'!$B$15:YH$15))</definedName>
    <definedName name="Page38_US">OFFSET('[2]Page 38 Data'!$B$15,0,0,1,COUNTA('[2]Page 38 Data'!$B$15:YH$15))</definedName>
    <definedName name="Page39_ALL" localSheetId="5">OFFSET('[1]Page 39 Data'!$B$16,0,0,1,COUNTA('[1]Page 39 Data'!$B$16:ZG$16))</definedName>
    <definedName name="Page39_ALL">OFFSET('[2]Page 39 Data'!$B$16,0,0,1,COUNTA('[2]Page 39 Data'!$B$16:ZG$16))</definedName>
    <definedName name="Page39_AZ" localSheetId="5">OFFSET('[1]Page 39 Data'!$B$5,0,0,1,COUNTA('[1]Page 39 Data'!$B$5:ZG$5))</definedName>
    <definedName name="Page39_AZ">OFFSET('[2]Page 39 Data'!$B$5,0,0,1,COUNTA('[2]Page 39 Data'!$B$5:ZG$5))</definedName>
    <definedName name="Page39_CA" localSheetId="5">OFFSET('[1]Page 39 Data'!$B$6,0,0,1,COUNTA('[1]Page 39 Data'!$B$6:ZG$6))</definedName>
    <definedName name="Page39_CA">OFFSET('[2]Page 39 Data'!$B$6,0,0,1,COUNTA('[2]Page 39 Data'!$B$6:ZG$6))</definedName>
    <definedName name="Page39_Date" localSheetId="5">OFFSET('[1]Page 39 Data'!$B$4,0,0,1,COUNTA('[1]Page 39 Data'!$B$4:ZG$4))</definedName>
    <definedName name="Page39_Date">OFFSET('[2]Page 39 Data'!$B$4,0,0,1,COUNTA('[2]Page 39 Data'!$B$4:ZG$4))</definedName>
    <definedName name="Page39_FL" localSheetId="5">OFFSET('[1]Page 39 Data'!$B$7,0,0,1,COUNTA('[1]Page 39 Data'!$B$7:ZG$7))</definedName>
    <definedName name="Page39_FL">OFFSET('[2]Page 39 Data'!$B$7,0,0,1,COUNTA('[2]Page 39 Data'!$B$7:ZG$7))</definedName>
    <definedName name="Page39_IL" localSheetId="5">OFFSET('[1]Page 39 Data'!$B$8,0,0,1,COUNTA('[1]Page 39 Data'!$B$8:ZG$8))</definedName>
    <definedName name="Page39_IL">OFFSET('[2]Page 39 Data'!$B$8,0,0,1,COUNTA('[2]Page 39 Data'!$B$8:ZG$8))</definedName>
    <definedName name="Page39_MI" localSheetId="5">OFFSET('[1]Page 39 Data'!$B$9,0,0,1,COUNTA('[1]Page 39 Data'!$B$9:ZG$9))</definedName>
    <definedName name="Page39_MI">OFFSET('[2]Page 39 Data'!$B$9,0,0,1,COUNTA('[2]Page 39 Data'!$B$9:ZG$9))</definedName>
    <definedName name="Page39_NJ" localSheetId="5">OFFSET('[1]Page 39 Data'!$B$10,0,0,1,COUNTA('[1]Page 39 Data'!$B$10:ZG$10))</definedName>
    <definedName name="Page39_NJ">OFFSET('[2]Page 39 Data'!$B$10,0,0,1,COUNTA('[2]Page 39 Data'!$B$10:ZG$10))</definedName>
    <definedName name="Page39_NV" localSheetId="5">OFFSET('[1]Page 39 Data'!$B$11,0,0,1,COUNTA('[1]Page 39 Data'!$B$11:ZG$11))</definedName>
    <definedName name="Page39_NV">OFFSET('[2]Page 39 Data'!$B$11,0,0,1,COUNTA('[2]Page 39 Data'!$B$11:ZG$11))</definedName>
    <definedName name="Page39_NY" localSheetId="5">OFFSET('[1]Page 39 Data'!$B$12,0,0,1,COUNTA('[1]Page 39 Data'!$B$12:ZG$12))</definedName>
    <definedName name="Page39_NY">OFFSET('[2]Page 39 Data'!$B$12,0,0,1,COUNTA('[2]Page 39 Data'!$B$12:ZG$12))</definedName>
    <definedName name="Page39_OH" localSheetId="5">OFFSET('[1]Page 39 Data'!$B$13,0,0,1,COUNTA('[1]Page 39 Data'!$B$13:ZG$13))</definedName>
    <definedName name="Page39_OH">OFFSET('[2]Page 39 Data'!$B$13,0,0,1,COUNTA('[2]Page 39 Data'!$B$13:ZG$13))</definedName>
    <definedName name="Page39_PA" localSheetId="5">OFFSET('[1]Page 39 Data'!$B$14,0,0,1,COUNTA('[1]Page 39 Data'!$B$14:ZG$14))</definedName>
    <definedName name="Page39_PA">OFFSET('[2]Page 39 Data'!$B$14,0,0,1,COUNTA('[2]Page 39 Data'!$B$14:ZG$14))</definedName>
    <definedName name="Page39_TX" localSheetId="5">OFFSET('[1]Page 39 Data'!$B$15,0,0,1,COUNTA('[1]Page 39 Data'!$B$15:ZG$15))</definedName>
    <definedName name="Page39_TX">OFFSET('[2]Page 39 Data'!$B$15,0,0,1,COUNTA('[2]Page 39 Data'!$B$15:ZG$15))</definedName>
    <definedName name="Page4_Auto" localSheetId="5">OFFSET('[1]Page 4 Data'!$B$5,0,0,COUNTA('[1]Page 4 Data'!$B:$B)-1)</definedName>
    <definedName name="Page4_Auto">OFFSET('[2]Page 4 Data'!$B$5,0,0,COUNTA('[2]Page 4 Data'!$B:$B)-1)</definedName>
    <definedName name="Page4_CC" localSheetId="5">OFFSET('[1]Page 4 Data'!$C$5,0,0,COUNTA('[1]Page 4 Data'!$C:$C)-1)</definedName>
    <definedName name="Page4_CC">OFFSET('[2]Page 4 Data'!$C$5,0,0,COUNTA('[2]Page 4 Data'!$C:$C)-1)</definedName>
    <definedName name="Page4_Date" localSheetId="5">OFFSET('[1]Page 4 Data'!$A$5,0,0,COUNTA('[1]Page 4 Data'!$A:$A)-1)</definedName>
    <definedName name="Page4_Date">OFFSET('[2]Page 4 Data'!$A$5,0,0,COUNTA('[2]Page 4 Data'!$A:$A)-1)</definedName>
    <definedName name="Page4_HELOC" localSheetId="5">OFFSET('[1]Page 4 Data'!$E$5,0,0,COUNTA('[1]Page 4 Data'!$E:$E)-1)</definedName>
    <definedName name="Page4_HELOC">OFFSET('[2]Page 4 Data'!$E$5,0,0,COUNTA('[2]Page 4 Data'!$E:$E)-1)</definedName>
    <definedName name="Page4_Mortgage" localSheetId="5">OFFSET('[1]Page 4 Data'!$D$5,0,0,COUNTA('[1]Page 4 Data'!$D:$D)-1)</definedName>
    <definedName name="Page4_Mortgage">OFFSET('[2]Page 4 Data'!$D$5,0,0,COUNTA('[2]Page 4 Data'!$D:$D)-1)</definedName>
    <definedName name="Page40_ALL" localSheetId="5">OFFSET('[1]Page 40 Data'!$B$16,0,0,1,COUNTA('[1]Page 40 Data'!$B$16:ZY$16))</definedName>
    <definedName name="Page40_ALL">OFFSET('[2]Page 40 Data'!$B$16,0,0,1,COUNTA('[2]Page 40 Data'!$B$16:ZY$16))</definedName>
    <definedName name="Page40_AZ" localSheetId="5">OFFSET('[1]Page 40 Data'!$B$5,0,0,1,COUNTA('[1]Page 40 Data'!$B$5:ZY$5))</definedName>
    <definedName name="Page40_AZ">OFFSET('[2]Page 40 Data'!$B$5,0,0,1,COUNTA('[2]Page 40 Data'!$B$5:ZY$5))</definedName>
    <definedName name="Page40_CA" localSheetId="5">OFFSET('[1]Page 40 Data'!$B$6,0,0,1,COUNTA('[1]Page 40 Data'!$B$6:ZY$6))</definedName>
    <definedName name="Page40_CA">OFFSET('[2]Page 40 Data'!$B$6,0,0,1,COUNTA('[2]Page 40 Data'!$B$6:ZY$6))</definedName>
    <definedName name="Page40_Date" localSheetId="5">OFFSET('[1]Page 40 Data'!$B$4,0,0,1,COUNTA('[1]Page 40 Data'!$B$4:ZY$4))</definedName>
    <definedName name="Page40_Date">OFFSET('[2]Page 40 Data'!$B$4,0,0,1,COUNTA('[2]Page 40 Data'!$B$4:ZY$4))</definedName>
    <definedName name="Page40_FL" localSheetId="5">OFFSET('[1]Page 40 Data'!$B$7,0,0,1,COUNTA('[1]Page 40 Data'!$B$7:ZY$7))</definedName>
    <definedName name="Page40_FL">OFFSET('[2]Page 40 Data'!$B$7,0,0,1,COUNTA('[2]Page 40 Data'!$B$7:ZY$7))</definedName>
    <definedName name="Page40_IL" localSheetId="5">OFFSET('[1]Page 40 Data'!$B$8,0,0,1,COUNTA('[1]Page 40 Data'!$B$8:ZY$8))</definedName>
    <definedName name="Page40_IL">OFFSET('[2]Page 40 Data'!$B$8,0,0,1,COUNTA('[2]Page 40 Data'!$B$8:ZY$8))</definedName>
    <definedName name="Page40_MI" localSheetId="5">OFFSET('[1]Page 40 Data'!$B$9,0,0,1,COUNTA('[1]Page 40 Data'!$B$9:ZY$9))</definedName>
    <definedName name="Page40_MI">OFFSET('[2]Page 40 Data'!$B$9,0,0,1,COUNTA('[2]Page 40 Data'!$B$9:ZY$9))</definedName>
    <definedName name="Page40_NJ" localSheetId="5">OFFSET('[1]Page 40 Data'!$B$10,0,0,1,COUNTA('[1]Page 40 Data'!$B$10:ZY$10))</definedName>
    <definedName name="Page40_NJ">OFFSET('[2]Page 40 Data'!$B$10,0,0,1,COUNTA('[2]Page 40 Data'!$B$10:ZY$10))</definedName>
    <definedName name="Page40_NV" localSheetId="5">OFFSET('[1]Page 40 Data'!$B$11,0,0,1,COUNTA('[1]Page 40 Data'!$B$11:ZY$11))</definedName>
    <definedName name="Page40_NV">OFFSET('[2]Page 40 Data'!$B$11,0,0,1,COUNTA('[2]Page 40 Data'!$B$11:ZY$11))</definedName>
    <definedName name="Page40_NY" localSheetId="5">OFFSET('[1]Page 40 Data'!$B$12,0,0,1,COUNTA('[1]Page 40 Data'!$B$12:ZY$12))</definedName>
    <definedName name="Page40_NY">OFFSET('[2]Page 40 Data'!$B$12,0,0,1,COUNTA('[2]Page 40 Data'!$B$12:ZY$12))</definedName>
    <definedName name="Page40_OH" localSheetId="5">OFFSET('[1]Page 40 Data'!$B$13,0,0,1,COUNTA('[1]Page 40 Data'!$B$13:ZY$13))</definedName>
    <definedName name="Page40_OH">OFFSET('[2]Page 40 Data'!$B$13,0,0,1,COUNTA('[2]Page 40 Data'!$B$13:ZY$13))</definedName>
    <definedName name="Page40_PA" localSheetId="5">OFFSET('[1]Page 40 Data'!$B$14,0,0,1,COUNTA('[1]Page 40 Data'!$B$14:ZY$14))</definedName>
    <definedName name="Page40_PA">OFFSET('[2]Page 40 Data'!$B$14,0,0,1,COUNTA('[2]Page 40 Data'!$B$14:ZY$14))</definedName>
    <definedName name="Page40_TX" localSheetId="5">OFFSET('[1]Page 40 Data'!$B$15,0,0,1,COUNTA('[1]Page 40 Data'!$B$15:ZY$15))</definedName>
    <definedName name="Page40_TX">OFFSET('[2]Page 40 Data'!$B$15,0,0,1,COUNTA('[2]Page 40 Data'!$B$15:ZY$15))</definedName>
    <definedName name="Page5_Closed" localSheetId="5">OFFSET('[1]Page 5 Data'!$C$5,0,0,COUNTA('[1]Page 5 Data'!$C:$C)-1)</definedName>
    <definedName name="Page5_Closed">OFFSET('[2]Page 5 Data'!$C$5,0,0,COUNTA('[2]Page 5 Data'!$C:$C)-1)</definedName>
    <definedName name="Page5_Date" localSheetId="5">OFFSET('[1]Page 5 Data'!$A$5,0,0,COUNTA('[1]Page 5 Data'!$A:$A)-3)</definedName>
    <definedName name="Page5_Date">OFFSET('[2]Page 5 Data'!$A$5,0,0,COUNTA('[2]Page 5 Data'!$A:$A)-3)</definedName>
    <definedName name="Page5_Inquiry" localSheetId="5">OFFSET('[1]Page 5 Data'!$B$5,0,0,COUNTA('[1]Page 5 Data'!$B:$B)-1)</definedName>
    <definedName name="Page5_Inquiry">OFFSET('[2]Page 5 Data'!$B$5,0,0,COUNTA('[2]Page 5 Data'!$B:$B)-1)</definedName>
    <definedName name="Page5_Open" localSheetId="5">OFFSET('[1]Page 5 Data'!$D$5,0,0,COUNTA('[1]Page 5 Data'!$D:$D)-1)</definedName>
    <definedName name="Page5_Open">OFFSET('[2]Page 5 Data'!$D$5,0,0,COUNTA('[2]Page 5 Data'!$D:$D)-1)</definedName>
    <definedName name="Page6_620" localSheetId="5">OFFSET('[1]Page 6 Data'!$B$5,0,0,COUNTA('[1]Page 6 Data'!$B:$B)-1)</definedName>
    <definedName name="Page6_620">OFFSET('[2]Page 6 Data'!$B$5,0,0,COUNTA('[2]Page 6 Data'!$B:$B)-1)</definedName>
    <definedName name="Page6_620to659" localSheetId="5">OFFSET('[1]Page 6 Data'!$C$5,0,0,COUNTA('[1]Page 6 Data'!$C:$C)-1)</definedName>
    <definedName name="Page6_620to659">OFFSET('[2]Page 6 Data'!$C$5,0,0,COUNTA('[2]Page 6 Data'!$C:$C)-1)</definedName>
    <definedName name="Page6_660to719" localSheetId="5">OFFSET('[1]Page 6 Data'!$D$5,0,0,COUNTA('[1]Page 6 Data'!$D:$D)-1)</definedName>
    <definedName name="Page6_660to719">OFFSET('[2]Page 6 Data'!$D$5,0,0,COUNTA('[2]Page 6 Data'!$D:$D)-1)</definedName>
    <definedName name="Page6_720to759" localSheetId="5">OFFSET('[1]Page 6 Data'!$E$5,0,0,COUNTA('[1]Page 6 Data'!$E:$E)-1)</definedName>
    <definedName name="Page6_720to759">OFFSET('[2]Page 6 Data'!$E$5,0,0,COUNTA('[2]Page 6 Data'!$E:$E)-1)</definedName>
    <definedName name="Page6_760" localSheetId="5">OFFSET('[1]Page 6 Data'!$F$5,0,0,COUNTA('[1]Page 6 Data'!$F:$F)-1)</definedName>
    <definedName name="Page6_760">OFFSET('[2]Page 6 Data'!$F$5,0,0,COUNTA('[2]Page 6 Data'!$F:$F)-1)</definedName>
    <definedName name="Page6_Date" localSheetId="5">OFFSET('[1]Page 5 Data'!$A$5,0,0,COUNTA('[1]Page 5 Data'!$A:$A)-3)</definedName>
    <definedName name="Page6_Date">OFFSET('[2]Page 5 Data'!$A$5,0,0,COUNTA('[2]Page 5 Data'!$A:$A)-3)</definedName>
    <definedName name="Page7_10th" localSheetId="5">OFFSET('[1]Page 7 Data'!$D$19,0,0,COUNTA('[1]Page 7 Data'!$D:$D)-16)</definedName>
    <definedName name="Page7_10th">OFFSET('[2]Page 7 Data'!$D$19,0,0,COUNTA('[2]Page 7 Data'!$D:$D)-16)</definedName>
    <definedName name="Page7_25th" localSheetId="5">OFFSET('[1]Page 7 Data'!$C$19,0,0,COUNTA('[1]Page 7 Data'!$C:$C)-16)</definedName>
    <definedName name="Page7_25th">OFFSET('[2]Page 7 Data'!$C$19,0,0,COUNTA('[2]Page 7 Data'!$C:$C)-16)</definedName>
    <definedName name="Page7_Date" localSheetId="5">OFFSET('[1]Page 7 Data'!$A$19,0,0,COUNTA('[1]Page 7 Data'!$A:$A)-17)</definedName>
    <definedName name="Page7_Date">OFFSET('[2]Page 7 Data'!$A$19,0,0,COUNTA('[2]Page 7 Data'!$A:$A)-17)</definedName>
    <definedName name="Page7_Median" localSheetId="5">OFFSET('[1]Page 7 Data'!$B$19,0,0,COUNTA('[1]Page 7 Data'!$B:$B)-16)</definedName>
    <definedName name="Page7_Median">OFFSET('[2]Page 7 Data'!$B$19,0,0,COUNTA('[2]Page 7 Data'!$B:$B)-16)</definedName>
    <definedName name="Page8_620" localSheetId="5">OFFSET('[1]Page 8 Data'!$B$5,0,0,COUNTA('[1]Page 8 Data'!$B:$B)-1)</definedName>
    <definedName name="Page8_620">OFFSET('Auto Loan Origination Data'!$B$5,0,0,COUNTA('Auto Loan Origination Data'!$B:$B)-1)</definedName>
    <definedName name="Page8_620to659" localSheetId="5">OFFSET('[1]Page 8 Data'!$C$5,0,0,COUNTA('[1]Page 8 Data'!$C:$C)-1)</definedName>
    <definedName name="Page8_620to659">OFFSET('Auto Loan Origination Data'!$C$5,0,0,COUNTA('Auto Loan Origination Data'!$C:$C)-1)</definedName>
    <definedName name="Page8_660to719" localSheetId="5">OFFSET('[1]Page 8 Data'!$D$5,0,0,COUNTA('[1]Page 8 Data'!$D:$D)-1)</definedName>
    <definedName name="Page8_660to719">OFFSET('Auto Loan Origination Data'!$D$5,0,0,COUNTA('Auto Loan Origination Data'!$D:$D)-1)</definedName>
    <definedName name="Page8_720to759" localSheetId="5">OFFSET('[1]Page 8 Data'!$E$5,0,0,COUNTA('[1]Page 8 Data'!$E:$E)-1)</definedName>
    <definedName name="Page8_720to759">OFFSET('Auto Loan Origination Data'!$E$5,0,0,COUNTA('Auto Loan Origination Data'!$E:$E)-1)</definedName>
    <definedName name="Page8_760" localSheetId="5">OFFSET('[1]Page 8 Data'!$F$5,0,0,COUNTA('[1]Page 8 Data'!$F:$F)-1)</definedName>
    <definedName name="Page8_760">OFFSET('Auto Loan Origination Data'!$F$5,0,0,COUNTA('Auto Loan Origination Data'!$F:$F)-1)</definedName>
    <definedName name="Page8_Date" localSheetId="5">OFFSET('[1]Page 8 Data'!$A$5,0,0,COUNTA('[1]Page 8 Data'!$A:$A)-3)</definedName>
    <definedName name="Page8_Date">OFFSET('Auto Loan Origination Data'!$A$5,0,0,COUNTA('Auto Loan Origination Data'!$A:$A)-3)</definedName>
    <definedName name="Page9_10th" localSheetId="5">OFFSET('[1]Page 9 Data'!$D$20,0,0,COUNTA('[1]Page 9 Data'!$D:$D)-16)</definedName>
    <definedName name="Page9_10th">OFFSET('[2]Page 9 Data'!$D$20,0,0,COUNTA('[2]Page 9 Data'!$D:$D)-16)</definedName>
    <definedName name="Page9_25th" localSheetId="5">OFFSET('[1]Page 9 Data'!$C$20,0,0,COUNTA('[1]Page 9 Data'!$C:$C)-16)</definedName>
    <definedName name="Page9_25th">OFFSET('[2]Page 9 Data'!$C$20,0,0,COUNTA('[2]Page 9 Data'!$C:$C)-16)</definedName>
    <definedName name="Page9_Date" localSheetId="5">OFFSET('[1]Page 9 Data'!$A$20,0,0,COUNTA('[1]Page 9 Data'!$A:$A)-17)</definedName>
    <definedName name="Page9_Date">OFFSET('[2]Page 9 Data'!$A$20,0,0,COUNTA('[2]Page 9 Data'!$A:$A)-17)</definedName>
    <definedName name="Page9_Median" localSheetId="5">OFFSET('[1]Page 9 Data'!$B$20,0,0,COUNTA('[1]Page 9 Data'!$B:$B)-17)</definedName>
    <definedName name="Page9_Median">OFFSET('[2]Page 9 Data'!$B$20,0,0,COUNTA('[2]Page 9 Data'!$B:$B)-17)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6" l="1"/>
  <c r="C4" i="7"/>
  <c r="C5" i="5"/>
  <c r="C4" i="5"/>
  <c r="C3" i="5"/>
  <c r="C2" i="5"/>
  <c r="F10" i="2" l="1"/>
  <c r="F9" i="2"/>
  <c r="F8" i="2"/>
  <c r="F7" i="2"/>
  <c r="F6" i="2"/>
  <c r="F5" i="2"/>
  <c r="E10" i="2"/>
  <c r="E9" i="2"/>
  <c r="E8" i="2"/>
  <c r="E7" i="2"/>
  <c r="E6" i="2"/>
  <c r="E5" i="2"/>
  <c r="D10" i="2"/>
  <c r="D9" i="2"/>
  <c r="D8" i="2"/>
  <c r="D7" i="2"/>
  <c r="D6" i="2"/>
  <c r="D5" i="2"/>
  <c r="C5" i="2"/>
  <c r="C10" i="2"/>
  <c r="C9" i="2"/>
  <c r="C8" i="2"/>
  <c r="C7" i="2"/>
  <c r="C6" i="2"/>
  <c r="G94" i="1"/>
  <c r="F94" i="1"/>
  <c r="E94" i="1"/>
  <c r="D94" i="1"/>
  <c r="C94" i="1"/>
  <c r="B94" i="1"/>
  <c r="H93" i="1"/>
  <c r="H92" i="1"/>
  <c r="H94" i="1" s="1"/>
  <c r="H57" i="1"/>
  <c r="H56" i="1"/>
</calcChain>
</file>

<file path=xl/sharedStrings.xml><?xml version="1.0" encoding="utf-8"?>
<sst xmlns="http://schemas.openxmlformats.org/spreadsheetml/2006/main" count="222" uniqueCount="123">
  <si>
    <t>Auto Loan Origination Volume by Riskscore</t>
  </si>
  <si>
    <t>Source: New York Fed Consumer Credit Panel/Equifax</t>
  </si>
  <si>
    <t>Billions of $</t>
  </si>
  <si>
    <t>Return to Table of Contents</t>
  </si>
  <si>
    <t>&lt;620</t>
  </si>
  <si>
    <t>620-659</t>
  </si>
  <si>
    <t>660-719</t>
  </si>
  <si>
    <t>720-759</t>
  </si>
  <si>
    <t>760+</t>
  </si>
  <si>
    <t>TOTAL</t>
  </si>
  <si>
    <t>04:Q1</t>
  </si>
  <si>
    <t>04:Q2</t>
  </si>
  <si>
    <t>04:Q3</t>
  </si>
  <si>
    <t>04:Q4</t>
  </si>
  <si>
    <t>05:Q1</t>
  </si>
  <si>
    <t>05:Q2</t>
  </si>
  <si>
    <t>05:Q3</t>
  </si>
  <si>
    <t>05:Q4</t>
  </si>
  <si>
    <t>06:Q1</t>
  </si>
  <si>
    <t>06:Q2</t>
  </si>
  <si>
    <t>06:Q3</t>
  </si>
  <si>
    <t>06:Q4</t>
  </si>
  <si>
    <t>07:Q1</t>
  </si>
  <si>
    <t>07:Q2</t>
  </si>
  <si>
    <t>07:Q3</t>
  </si>
  <si>
    <t>07:Q4</t>
  </si>
  <si>
    <t>08:Q1</t>
  </si>
  <si>
    <t>08:Q2</t>
  </si>
  <si>
    <t>08:Q3</t>
  </si>
  <si>
    <t>08:Q4</t>
  </si>
  <si>
    <t>09:Q1</t>
  </si>
  <si>
    <t>09:Q2</t>
  </si>
  <si>
    <t>09:Q3</t>
  </si>
  <si>
    <t>09:Q4</t>
  </si>
  <si>
    <t>10:Q1</t>
  </si>
  <si>
    <t>10:Q2</t>
  </si>
  <si>
    <t>10:Q3</t>
  </si>
  <si>
    <t>10:Q4</t>
  </si>
  <si>
    <t>11:Q1</t>
  </si>
  <si>
    <t>11:Q2</t>
  </si>
  <si>
    <t>11:Q3</t>
  </si>
  <si>
    <t>11:Q4</t>
  </si>
  <si>
    <t>12:Q1</t>
  </si>
  <si>
    <t>12:Q2</t>
  </si>
  <si>
    <t>12:Q3</t>
  </si>
  <si>
    <t>12:Q4</t>
  </si>
  <si>
    <t>13:Q1</t>
  </si>
  <si>
    <t>13:Q2</t>
  </si>
  <si>
    <t>13:Q3</t>
  </si>
  <si>
    <t>13:Q4</t>
  </si>
  <si>
    <t>14:Q1</t>
  </si>
  <si>
    <t>14:Q2</t>
  </si>
  <si>
    <t>14:Q3</t>
  </si>
  <si>
    <t>14:Q4</t>
  </si>
  <si>
    <t>15:Q1</t>
  </si>
  <si>
    <t>15:Q2</t>
  </si>
  <si>
    <t>15:Q3</t>
  </si>
  <si>
    <t>15:Q4</t>
  </si>
  <si>
    <t>16:Q1</t>
  </si>
  <si>
    <t>16:Q2</t>
  </si>
  <si>
    <t>16:Q3</t>
  </si>
  <si>
    <t>16:Q4</t>
  </si>
  <si>
    <t>17:Q1</t>
  </si>
  <si>
    <t>17:Q2</t>
  </si>
  <si>
    <t>17:Q3</t>
  </si>
  <si>
    <t>17:Q4</t>
  </si>
  <si>
    <t>18:Q1</t>
  </si>
  <si>
    <t>18:Q2</t>
  </si>
  <si>
    <t>18:Q3</t>
  </si>
  <si>
    <t>18:Q4</t>
  </si>
  <si>
    <t>19:Q1</t>
  </si>
  <si>
    <t>19:Q2</t>
  </si>
  <si>
    <t>19:Q3</t>
  </si>
  <si>
    <t>19:Q4</t>
  </si>
  <si>
    <t>20:Q1</t>
  </si>
  <si>
    <t>20:Q2</t>
  </si>
  <si>
    <t>20:Q3</t>
  </si>
  <si>
    <t>20:Q4</t>
  </si>
  <si>
    <t>21:Q1</t>
  </si>
  <si>
    <t>21:Q2</t>
  </si>
  <si>
    <t>21:Q3</t>
  </si>
  <si>
    <t>21:Q4</t>
  </si>
  <si>
    <t>22:Q1</t>
  </si>
  <si>
    <t>22:Q2</t>
  </si>
  <si>
    <t>22:Q3</t>
  </si>
  <si>
    <t>22:Q4</t>
  </si>
  <si>
    <t>23:Q1</t>
  </si>
  <si>
    <t>23:Q2</t>
  </si>
  <si>
    <t>23:Q3</t>
  </si>
  <si>
    <t>23:Q4</t>
  </si>
  <si>
    <t>24:Q1</t>
  </si>
  <si>
    <t>24:Q2</t>
  </si>
  <si>
    <t>24:Q3</t>
  </si>
  <si>
    <t>24:Q4</t>
  </si>
  <si>
    <t>25:Q1</t>
  </si>
  <si>
    <t>25:Q2</t>
  </si>
  <si>
    <t>25:Q3</t>
  </si>
  <si>
    <t>25:Q4</t>
  </si>
  <si>
    <t>26:Q1</t>
  </si>
  <si>
    <t>2004-2008</t>
  </si>
  <si>
    <t>2009-2013</t>
  </si>
  <si>
    <t>2014-2018</t>
  </si>
  <si>
    <t>2019-2025</t>
  </si>
  <si>
    <t>Below 620</t>
  </si>
  <si>
    <t>Totals</t>
  </si>
  <si>
    <t>03:Q4</t>
  </si>
  <si>
    <t>03:Q3</t>
  </si>
  <si>
    <t>03:Q2</t>
  </si>
  <si>
    <t>03:Q1</t>
  </si>
  <si>
    <t>ALL</t>
  </si>
  <si>
    <t>OTHER</t>
  </si>
  <si>
    <t>STUDENT LOAN</t>
  </si>
  <si>
    <t>CC</t>
  </si>
  <si>
    <t>AUTO</t>
  </si>
  <si>
    <t>HELOC</t>
  </si>
  <si>
    <t>MORTGAGE</t>
  </si>
  <si>
    <t>Percent</t>
  </si>
  <si>
    <t xml:space="preserve">Percent of Balance 90+ Days Delinquent by Loan Type </t>
  </si>
  <si>
    <t>Period</t>
  </si>
  <si>
    <t>Subprime Org (Billions)</t>
  </si>
  <si>
    <t>90 Day Deliquency %</t>
  </si>
  <si>
    <t>Increases Since Crisis Era</t>
  </si>
  <si>
    <t>Total Subprime Loan in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</si>
</sst>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sz val="10"/>
      <color theme="1"/>
      <name val="Arial Unicode MS"/>
    </font>
    <font>
      <sz val="11"/>
      <name val="Calibri"/>
      <family val="2"/>
      <scheme val="minor"/>
    </font>
    <font>
      <sz val="16"/>
      <color rgb="FF000000"/>
      <name val="Arial"/>
      <family val="2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9" fontId="8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4" fillId="0" borderId="0" xfId="1" applyAlignment="1" applyProtection="1"/>
    <xf numFmtId="0" fontId="1" fillId="0" borderId="0" xfId="0" applyFont="1"/>
    <xf numFmtId="0" fontId="0" fillId="2" borderId="0" xfId="0" applyFill="1"/>
    <xf numFmtId="164" fontId="0" fillId="2" borderId="0" xfId="0" applyNumberFormat="1" applyFill="1"/>
    <xf numFmtId="9" fontId="0" fillId="2" borderId="0" xfId="0" applyNumberFormat="1" applyFill="1"/>
    <xf numFmtId="2" fontId="0" fillId="2" borderId="0" xfId="0" applyNumberFormat="1" applyFill="1"/>
    <xf numFmtId="9" fontId="0" fillId="0" borderId="0" xfId="0" applyNumberFormat="1"/>
    <xf numFmtId="9" fontId="0" fillId="2" borderId="0" xfId="0" applyNumberFormat="1" applyFill="1" applyAlignment="1">
      <alignment horizontal="left"/>
    </xf>
    <xf numFmtId="164" fontId="0" fillId="2" borderId="0" xfId="0" applyNumberFormat="1" applyFill="1" applyAlignment="1">
      <alignment horizontal="right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right"/>
    </xf>
    <xf numFmtId="0" fontId="0" fillId="2" borderId="0" xfId="0" applyFill="1" applyAlignment="1">
      <alignment horizontal="left" vertical="center"/>
    </xf>
    <xf numFmtId="164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0" fillId="0" borderId="0" xfId="0" applyAlignment="1">
      <alignment horizontal="left" vertical="center"/>
    </xf>
    <xf numFmtId="11" fontId="0" fillId="0" borderId="0" xfId="0" applyNumberFormat="1"/>
    <xf numFmtId="164" fontId="0" fillId="0" borderId="0" xfId="0" applyNumberFormat="1"/>
    <xf numFmtId="2" fontId="0" fillId="0" borderId="0" xfId="0" applyNumberFormat="1"/>
    <xf numFmtId="0" fontId="0" fillId="3" borderId="0" xfId="0" applyFill="1"/>
    <xf numFmtId="0" fontId="0" fillId="0" borderId="0" xfId="0" applyAlignment="1">
      <alignment horizontal="center"/>
    </xf>
    <xf numFmtId="2" fontId="1" fillId="0" borderId="0" xfId="0" applyNumberFormat="1" applyFont="1"/>
    <xf numFmtId="2" fontId="0" fillId="2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6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10" fontId="0" fillId="0" borderId="0" xfId="0" applyNumberFormat="1" applyAlignment="1">
      <alignment horizontal="center"/>
    </xf>
    <xf numFmtId="0" fontId="4" fillId="0" borderId="0" xfId="1" applyFill="1" applyAlignment="1" applyProtection="1"/>
    <xf numFmtId="0" fontId="7" fillId="0" borderId="0" xfId="0" applyFont="1" applyAlignment="1">
      <alignment horizontal="left"/>
    </xf>
    <xf numFmtId="2" fontId="0" fillId="3" borderId="0" xfId="0" applyNumberFormat="1" applyFill="1"/>
    <xf numFmtId="16" fontId="0" fillId="3" borderId="0" xfId="0" applyNumberFormat="1" applyFill="1"/>
    <xf numFmtId="0" fontId="0" fillId="0" borderId="2" xfId="0" applyBorder="1"/>
    <xf numFmtId="0" fontId="0" fillId="4" borderId="2" xfId="0" applyFill="1" applyBorder="1"/>
    <xf numFmtId="9" fontId="0" fillId="0" borderId="2" xfId="2" applyFont="1" applyBorder="1"/>
    <xf numFmtId="0" fontId="2" fillId="0" borderId="0" xfId="0" applyFont="1" applyAlignment="1">
      <alignment horizontal="left"/>
    </xf>
    <xf numFmtId="16" fontId="0" fillId="3" borderId="2" xfId="0" applyNumberFormat="1" applyFill="1" applyBorder="1"/>
    <xf numFmtId="2" fontId="0" fillId="3" borderId="2" xfId="0" applyNumberFormat="1" applyFill="1" applyBorder="1"/>
    <xf numFmtId="0" fontId="0" fillId="3" borderId="2" xfId="0" applyFill="1" applyBorder="1"/>
    <xf numFmtId="0" fontId="0" fillId="5" borderId="2" xfId="0" applyFill="1" applyBorder="1"/>
    <xf numFmtId="0" fontId="0" fillId="2" borderId="2" xfId="0" applyFill="1" applyBorder="1"/>
    <xf numFmtId="2" fontId="0" fillId="2" borderId="2" xfId="0" applyNumberFormat="1" applyFill="1" applyBorder="1"/>
    <xf numFmtId="0" fontId="1" fillId="2" borderId="2" xfId="0" applyFont="1" applyFill="1" applyBorder="1"/>
    <xf numFmtId="2" fontId="1" fillId="2" borderId="2" xfId="0" applyNumberFormat="1" applyFont="1" applyFill="1" applyBorder="1"/>
    <xf numFmtId="2" fontId="0" fillId="5" borderId="2" xfId="0" applyNumberFormat="1" applyFill="1" applyBorder="1"/>
    <xf numFmtId="2" fontId="5" fillId="5" borderId="2" xfId="0" applyNumberFormat="1" applyFont="1" applyFill="1" applyBorder="1"/>
    <xf numFmtId="0" fontId="0" fillId="6" borderId="2" xfId="0" applyFill="1" applyBorder="1"/>
    <xf numFmtId="2" fontId="0" fillId="6" borderId="2" xfId="0" applyNumberFormat="1" applyFill="1" applyBorder="1"/>
    <xf numFmtId="0" fontId="0" fillId="6" borderId="1" xfId="0" applyFill="1" applyBorder="1"/>
    <xf numFmtId="2" fontId="0" fillId="6" borderId="1" xfId="0" applyNumberFormat="1" applyFill="1" applyBorder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CMor\Documents\HHD_C_Report_2026Q1.xlsx" TargetMode="External"/><Relationship Id="rId1" Type="http://schemas.openxmlformats.org/officeDocument/2006/relationships/externalLinkPath" Target="file:///C:\Users\MCMor\Documents\HHD_C_Report_2026Q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chael\Downloads\HHD_C_Report_2026Q1.xlsx" TargetMode="External"/><Relationship Id="rId1" Type="http://schemas.openxmlformats.org/officeDocument/2006/relationships/externalLinkPath" Target="file:///C:\Users\Michael\Downloads\HHD_C_Report_2026Q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 OF CONTENTS"/>
      <sheetName val="Chart3"/>
      <sheetName val="Page 3 Data"/>
      <sheetName val="Chart4"/>
      <sheetName val="Page 4 Data"/>
      <sheetName val="Chart5"/>
      <sheetName val="Page 5 Data"/>
      <sheetName val="Chart6"/>
      <sheetName val="Page 6 Data"/>
      <sheetName val="Chart7"/>
      <sheetName val="Page 7 Data"/>
      <sheetName val="Chart8"/>
      <sheetName val="Page 8 Data"/>
      <sheetName val="Chart9"/>
      <sheetName val="Page 9 Data"/>
      <sheetName val="Chart10"/>
      <sheetName val="Page 10 Data"/>
      <sheetName val="Chart11"/>
      <sheetName val="Page 11 Data"/>
      <sheetName val="Chart12"/>
      <sheetName val="Chart13"/>
      <sheetName val="Page 13 Data"/>
      <sheetName val="Chart14"/>
      <sheetName val="Page 14 Data"/>
      <sheetName val="Chart15"/>
      <sheetName val="Page 15 Data"/>
      <sheetName val="Chart16"/>
      <sheetName val="Page 16 Data"/>
      <sheetName val="Chart17"/>
      <sheetName val="Page 17 Data"/>
      <sheetName val="Chart18"/>
      <sheetName val="Page 18 Data"/>
      <sheetName val="Chart20"/>
      <sheetName val="Page 20 Data"/>
      <sheetName val="Chart21"/>
      <sheetName val="Page 21 Data"/>
      <sheetName val="Chart22"/>
      <sheetName val="Page 22 Data"/>
      <sheetName val="Chart23"/>
      <sheetName val="Page 23 Data"/>
      <sheetName val="Chart24"/>
      <sheetName val="Page 24 Data"/>
      <sheetName val="Chart25"/>
      <sheetName val="Page 25 Data"/>
      <sheetName val="Chart26"/>
      <sheetName val="Page 26 Data"/>
      <sheetName val="Chart27"/>
      <sheetName val="Page 27 Data"/>
      <sheetName val="Chart28"/>
      <sheetName val="Page 28 Data"/>
      <sheetName val="Chart29"/>
      <sheetName val="Page 29 Data"/>
      <sheetName val="Chart30"/>
      <sheetName val="Page 30 Data"/>
      <sheetName val="Chart32"/>
      <sheetName val="Page 32 Data"/>
      <sheetName val="Chart33"/>
      <sheetName val="Page 33 Data"/>
      <sheetName val="Chart34"/>
      <sheetName val="Page 34 Data"/>
      <sheetName val="Chart35"/>
      <sheetName val="Page 35 Data"/>
      <sheetName val="Chart36"/>
      <sheetName val="Page 36 Data"/>
      <sheetName val="Chart37"/>
      <sheetName val="Page 37 Data"/>
      <sheetName val="Chart38"/>
      <sheetName val="Page 38 Data"/>
      <sheetName val="Chart39"/>
      <sheetName val="Page 39 Data"/>
      <sheetName val="Chart40"/>
      <sheetName val="Page 40 Data"/>
    </sheetNames>
    <sheetDataSet>
      <sheetData sheetId="0"/>
      <sheetData sheetId="1" refreshError="1"/>
      <sheetData sheetId="2">
        <row r="1">
          <cell r="A1" t="str">
            <v>Total Debt Balance and Its Composition</v>
          </cell>
        </row>
        <row r="2">
          <cell r="A2" t="str">
            <v>Trillions of $</v>
          </cell>
        </row>
        <row r="3">
          <cell r="A3" t="str">
            <v>Return to Table of Contents</v>
          </cell>
        </row>
        <row r="4">
          <cell r="B4" t="str">
            <v>Mortgage</v>
          </cell>
          <cell r="C4" t="str">
            <v>HE Revolving</v>
          </cell>
          <cell r="D4" t="str">
            <v>Auto Loan</v>
          </cell>
          <cell r="E4" t="str">
            <v>Credit Card</v>
          </cell>
          <cell r="F4" t="str">
            <v>Student Loan</v>
          </cell>
          <cell r="G4" t="str">
            <v>Other</v>
          </cell>
          <cell r="H4" t="str">
            <v>Total</v>
          </cell>
        </row>
        <row r="5">
          <cell r="A5" t="str">
            <v>03:Q1</v>
          </cell>
          <cell r="B5">
            <v>4.9420000000000002</v>
          </cell>
          <cell r="C5">
            <v>0.24199999999999999</v>
          </cell>
          <cell r="D5">
            <v>0.64100000000000001</v>
          </cell>
          <cell r="E5">
            <v>0.68799999999999994</v>
          </cell>
          <cell r="F5">
            <v>0.2407</v>
          </cell>
          <cell r="G5">
            <v>0.47760000000000002</v>
          </cell>
          <cell r="H5">
            <v>7.2313000000000001</v>
          </cell>
        </row>
        <row r="6">
          <cell r="A6" t="str">
            <v>03:Q2</v>
          </cell>
          <cell r="B6">
            <v>5.08</v>
          </cell>
          <cell r="C6">
            <v>0.26</v>
          </cell>
          <cell r="D6">
            <v>0.622</v>
          </cell>
          <cell r="E6">
            <v>0.69299999999999995</v>
          </cell>
          <cell r="F6">
            <v>0.2429</v>
          </cell>
          <cell r="G6">
            <v>0.48599999999999999</v>
          </cell>
          <cell r="H6">
            <v>7.3838999999999988</v>
          </cell>
        </row>
        <row r="7">
          <cell r="A7" t="str">
            <v>03:Q3</v>
          </cell>
          <cell r="B7">
            <v>5.1829999999999998</v>
          </cell>
          <cell r="C7">
            <v>0.26900000000000002</v>
          </cell>
          <cell r="D7">
            <v>0.68400000000000005</v>
          </cell>
          <cell r="E7">
            <v>0.69299999999999995</v>
          </cell>
          <cell r="F7">
            <v>0.24879999999999999</v>
          </cell>
          <cell r="G7">
            <v>0.4773</v>
          </cell>
          <cell r="H7">
            <v>7.5550999999999995</v>
          </cell>
        </row>
        <row r="8">
          <cell r="A8" t="str">
            <v>03:Q4</v>
          </cell>
          <cell r="B8">
            <v>5.66</v>
          </cell>
          <cell r="C8">
            <v>0.30199999999999999</v>
          </cell>
          <cell r="D8">
            <v>0.70399999999999996</v>
          </cell>
          <cell r="E8">
            <v>0.69799999999999995</v>
          </cell>
          <cell r="F8">
            <v>0.25290000000000001</v>
          </cell>
          <cell r="G8">
            <v>0.4486</v>
          </cell>
          <cell r="H8">
            <v>8.0655000000000001</v>
          </cell>
        </row>
        <row r="9">
          <cell r="A9" t="str">
            <v>04:Q1</v>
          </cell>
          <cell r="B9">
            <v>5.84</v>
          </cell>
          <cell r="C9">
            <v>0.32800000000000001</v>
          </cell>
          <cell r="D9">
            <v>0.72</v>
          </cell>
          <cell r="E9">
            <v>0.69499999999999995</v>
          </cell>
          <cell r="F9">
            <v>0.25979999999999998</v>
          </cell>
          <cell r="G9">
            <v>0.44650000000000001</v>
          </cell>
          <cell r="H9">
            <v>8.2893000000000008</v>
          </cell>
        </row>
        <row r="10">
          <cell r="A10" t="str">
            <v>04:Q2</v>
          </cell>
          <cell r="B10">
            <v>5.9669999999999996</v>
          </cell>
          <cell r="C10">
            <v>0.36699999999999999</v>
          </cell>
          <cell r="D10">
            <v>0.74299999999999999</v>
          </cell>
          <cell r="E10">
            <v>0.69699999999999995</v>
          </cell>
          <cell r="F10">
            <v>0.26290000000000002</v>
          </cell>
          <cell r="G10">
            <v>0.42309999999999998</v>
          </cell>
          <cell r="H10">
            <v>8.4599999999999991</v>
          </cell>
        </row>
        <row r="11">
          <cell r="A11" t="str">
            <v>04:Q3</v>
          </cell>
          <cell r="B11">
            <v>6.21</v>
          </cell>
          <cell r="C11">
            <v>0.42599999999999999</v>
          </cell>
          <cell r="D11">
            <v>0.751</v>
          </cell>
          <cell r="E11">
            <v>0.70599999999999996</v>
          </cell>
          <cell r="F11">
            <v>0.33</v>
          </cell>
          <cell r="G11">
            <v>0.41</v>
          </cell>
          <cell r="H11">
            <v>8.8330000000000002</v>
          </cell>
        </row>
        <row r="12">
          <cell r="A12" t="str">
            <v>04:Q4</v>
          </cell>
          <cell r="B12">
            <v>6.36</v>
          </cell>
          <cell r="C12">
            <v>0.46800000000000003</v>
          </cell>
          <cell r="D12">
            <v>0.72799999999999998</v>
          </cell>
          <cell r="E12">
            <v>0.71699999999999997</v>
          </cell>
          <cell r="F12">
            <v>0.34570000000000001</v>
          </cell>
          <cell r="G12">
            <v>0.4229</v>
          </cell>
          <cell r="H12">
            <v>9.0416000000000007</v>
          </cell>
        </row>
        <row r="13">
          <cell r="A13" t="str">
            <v>05:Q1</v>
          </cell>
          <cell r="B13">
            <v>6.5119999999999996</v>
          </cell>
          <cell r="C13">
            <v>0.502</v>
          </cell>
          <cell r="D13">
            <v>0.72499999999999998</v>
          </cell>
          <cell r="E13">
            <v>0.71</v>
          </cell>
          <cell r="F13">
            <v>0.36359999999999998</v>
          </cell>
          <cell r="G13">
            <v>0.39410000000000001</v>
          </cell>
          <cell r="H13">
            <v>9.2066999999999979</v>
          </cell>
        </row>
        <row r="14">
          <cell r="A14" t="str">
            <v>05:Q2</v>
          </cell>
          <cell r="B14">
            <v>6.6959999999999997</v>
          </cell>
          <cell r="C14">
            <v>0.52800000000000002</v>
          </cell>
          <cell r="D14">
            <v>0.77400000000000002</v>
          </cell>
          <cell r="E14">
            <v>0.71699999999999997</v>
          </cell>
          <cell r="F14">
            <v>0.37440000000000001</v>
          </cell>
          <cell r="G14">
            <v>0.40239999999999998</v>
          </cell>
          <cell r="H14">
            <v>9.4917999999999996</v>
          </cell>
        </row>
        <row r="15">
          <cell r="A15" t="str">
            <v>05:Q3</v>
          </cell>
          <cell r="B15">
            <v>6.9059999999999997</v>
          </cell>
          <cell r="C15">
            <v>0.54100000000000004</v>
          </cell>
          <cell r="D15">
            <v>0.83</v>
          </cell>
          <cell r="E15">
            <v>0.73199999999999998</v>
          </cell>
          <cell r="F15">
            <v>0.37769999999999998</v>
          </cell>
          <cell r="G15">
            <v>0.40539999999999998</v>
          </cell>
          <cell r="H15">
            <v>9.7920999999999996</v>
          </cell>
        </row>
        <row r="16">
          <cell r="A16" t="str">
            <v>05:Q4</v>
          </cell>
          <cell r="B16">
            <v>7.1020000000000003</v>
          </cell>
          <cell r="C16">
            <v>0.56499999999999995</v>
          </cell>
          <cell r="D16">
            <v>0.79200000000000004</v>
          </cell>
          <cell r="E16">
            <v>0.73599999999999999</v>
          </cell>
          <cell r="F16">
            <v>0.39169999999999999</v>
          </cell>
          <cell r="G16">
            <v>0.41549999999999998</v>
          </cell>
          <cell r="H16">
            <v>10.0022</v>
          </cell>
        </row>
        <row r="17">
          <cell r="A17" t="str">
            <v>06:Q1</v>
          </cell>
          <cell r="B17">
            <v>7.4359999999999999</v>
          </cell>
          <cell r="C17">
            <v>0.58199999999999996</v>
          </cell>
          <cell r="D17">
            <v>0.78800000000000003</v>
          </cell>
          <cell r="E17">
            <v>0.72299999999999998</v>
          </cell>
          <cell r="F17">
            <v>0.4345</v>
          </cell>
          <cell r="G17">
            <v>0.41830000000000001</v>
          </cell>
          <cell r="H17">
            <v>10.381800000000002</v>
          </cell>
        </row>
        <row r="18">
          <cell r="A18" t="str">
            <v>06:Q2</v>
          </cell>
          <cell r="B18">
            <v>7.76</v>
          </cell>
          <cell r="C18">
            <v>0.59</v>
          </cell>
          <cell r="D18">
            <v>0.79600000000000004</v>
          </cell>
          <cell r="E18">
            <v>0.73899999999999999</v>
          </cell>
          <cell r="F18">
            <v>0.43890000000000001</v>
          </cell>
          <cell r="G18">
            <v>0.42320000000000002</v>
          </cell>
          <cell r="H18">
            <v>10.7471</v>
          </cell>
        </row>
        <row r="19">
          <cell r="A19" t="str">
            <v>06:Q3</v>
          </cell>
          <cell r="B19">
            <v>8.0449999999999999</v>
          </cell>
          <cell r="C19">
            <v>0.60299999999999998</v>
          </cell>
          <cell r="D19">
            <v>0.82099999999999995</v>
          </cell>
          <cell r="E19">
            <v>0.754</v>
          </cell>
          <cell r="F19">
            <v>0.44669999999999999</v>
          </cell>
          <cell r="G19">
            <v>0.44169999999999998</v>
          </cell>
          <cell r="H19">
            <v>11.1114</v>
          </cell>
        </row>
        <row r="20">
          <cell r="A20" t="str">
            <v>06:Q4</v>
          </cell>
          <cell r="B20">
            <v>8.234</v>
          </cell>
          <cell r="C20">
            <v>0.60399999999999998</v>
          </cell>
          <cell r="D20">
            <v>0.82099999999999995</v>
          </cell>
          <cell r="E20">
            <v>0.76700000000000002</v>
          </cell>
          <cell r="F20">
            <v>0.48159999999999997</v>
          </cell>
          <cell r="G20">
            <v>0.40570000000000001</v>
          </cell>
          <cell r="H20">
            <v>11.313299999999998</v>
          </cell>
        </row>
        <row r="21">
          <cell r="A21" t="str">
            <v>07:Q1</v>
          </cell>
          <cell r="B21">
            <v>8.4220000000000006</v>
          </cell>
          <cell r="C21">
            <v>0.60499999999999998</v>
          </cell>
          <cell r="D21">
            <v>0.79400000000000004</v>
          </cell>
          <cell r="E21">
            <v>0.76400000000000001</v>
          </cell>
          <cell r="F21">
            <v>0.50639999999999996</v>
          </cell>
          <cell r="G21">
            <v>0.40389999999999998</v>
          </cell>
          <cell r="H21">
            <v>11.4953</v>
          </cell>
        </row>
        <row r="22">
          <cell r="A22" t="str">
            <v>07:Q2</v>
          </cell>
          <cell r="B22">
            <v>8.7059999999999995</v>
          </cell>
          <cell r="C22">
            <v>0.61899999999999999</v>
          </cell>
          <cell r="D22">
            <v>0.80700000000000005</v>
          </cell>
          <cell r="E22">
            <v>0.79600000000000004</v>
          </cell>
          <cell r="F22">
            <v>0.51400000000000001</v>
          </cell>
          <cell r="G22">
            <v>0.4078</v>
          </cell>
          <cell r="H22">
            <v>11.849799999999998</v>
          </cell>
        </row>
        <row r="23">
          <cell r="A23" t="str">
            <v>07:Q3</v>
          </cell>
          <cell r="B23">
            <v>8.9250000000000007</v>
          </cell>
          <cell r="C23">
            <v>0.63100000000000001</v>
          </cell>
          <cell r="D23">
            <v>0.81799999999999995</v>
          </cell>
          <cell r="E23">
            <v>0.81699999999999995</v>
          </cell>
          <cell r="F23">
            <v>0.52850039999999998</v>
          </cell>
          <cell r="G23">
            <v>0.41299999999999998</v>
          </cell>
          <cell r="H23">
            <v>12.132500400000001</v>
          </cell>
        </row>
        <row r="24">
          <cell r="A24" t="str">
            <v>07:Q4</v>
          </cell>
          <cell r="B24">
            <v>9.1010000000000009</v>
          </cell>
          <cell r="C24">
            <v>0.64700000000000002</v>
          </cell>
          <cell r="D24">
            <v>0.81499999999999995</v>
          </cell>
          <cell r="E24">
            <v>0.83899999999999997</v>
          </cell>
          <cell r="F24">
            <v>0.54749999999999999</v>
          </cell>
          <cell r="G24">
            <v>0.42209999999999998</v>
          </cell>
          <cell r="H24">
            <v>12.371600000000001</v>
          </cell>
        </row>
        <row r="25">
          <cell r="A25" t="str">
            <v>08:Q1</v>
          </cell>
          <cell r="B25">
            <v>9.234</v>
          </cell>
          <cell r="C25">
            <v>0.66300000000000003</v>
          </cell>
          <cell r="D25">
            <v>0.80800000000000005</v>
          </cell>
          <cell r="E25">
            <v>0.83699999999999997</v>
          </cell>
          <cell r="F25">
            <v>0.57920000000000005</v>
          </cell>
          <cell r="G25">
            <v>0.4153</v>
          </cell>
          <cell r="H25">
            <v>12.5365</v>
          </cell>
        </row>
        <row r="26">
          <cell r="A26" t="str">
            <v>08:Q2</v>
          </cell>
          <cell r="B26">
            <v>9.2729999999999997</v>
          </cell>
          <cell r="C26">
            <v>0.67900000000000005</v>
          </cell>
          <cell r="D26">
            <v>0.81</v>
          </cell>
          <cell r="E26">
            <v>0.85</v>
          </cell>
          <cell r="F26">
            <v>0.58630000000000004</v>
          </cell>
          <cell r="G26">
            <v>0.40079999999999999</v>
          </cell>
          <cell r="H26">
            <v>12.5991</v>
          </cell>
        </row>
        <row r="27">
          <cell r="A27" t="str">
            <v>08:Q3</v>
          </cell>
          <cell r="B27">
            <v>9.2940000000000005</v>
          </cell>
          <cell r="C27">
            <v>0.69199999999999995</v>
          </cell>
          <cell r="D27">
            <v>0.80900000000000005</v>
          </cell>
          <cell r="E27">
            <v>0.85799999999999998</v>
          </cell>
          <cell r="F27">
            <v>0.6109</v>
          </cell>
          <cell r="G27">
            <v>0.41149999999999998</v>
          </cell>
          <cell r="H27">
            <v>12.6754</v>
          </cell>
        </row>
        <row r="28">
          <cell r="A28" t="str">
            <v>08:Q4</v>
          </cell>
          <cell r="B28">
            <v>9.2569999999999997</v>
          </cell>
          <cell r="C28">
            <v>0.70499999999999996</v>
          </cell>
          <cell r="D28">
            <v>0.79100000000000004</v>
          </cell>
          <cell r="E28">
            <v>0.86599999999999999</v>
          </cell>
          <cell r="F28">
            <v>0.63929999999999998</v>
          </cell>
          <cell r="G28">
            <v>0.41160000000000002</v>
          </cell>
          <cell r="H28">
            <v>12.6699</v>
          </cell>
        </row>
        <row r="29">
          <cell r="A29" t="str">
            <v>09:Q1</v>
          </cell>
          <cell r="B29">
            <v>9.1349999999999998</v>
          </cell>
          <cell r="C29">
            <v>0.71399999999999997</v>
          </cell>
          <cell r="D29">
            <v>0.76600000000000001</v>
          </cell>
          <cell r="E29">
            <v>0.84299999999999997</v>
          </cell>
          <cell r="F29">
            <v>0.66279999999999994</v>
          </cell>
          <cell r="G29">
            <v>0.4088</v>
          </cell>
          <cell r="H29">
            <v>12.5296</v>
          </cell>
        </row>
        <row r="30">
          <cell r="A30" t="str">
            <v>09:Q2</v>
          </cell>
          <cell r="B30">
            <v>9.0630000000000006</v>
          </cell>
          <cell r="C30">
            <v>0.71299999999999997</v>
          </cell>
          <cell r="D30">
            <v>0.74299999999999999</v>
          </cell>
          <cell r="E30">
            <v>0.82399999999999995</v>
          </cell>
          <cell r="F30">
            <v>0.6754</v>
          </cell>
          <cell r="G30">
            <v>0.38879999999999998</v>
          </cell>
          <cell r="H30">
            <v>12.4072</v>
          </cell>
        </row>
        <row r="31">
          <cell r="A31" t="str">
            <v>09:Q3</v>
          </cell>
          <cell r="B31">
            <v>8.9440000000000008</v>
          </cell>
          <cell r="C31">
            <v>0.70799999999999996</v>
          </cell>
          <cell r="D31">
            <v>0.73899999999999999</v>
          </cell>
          <cell r="E31">
            <v>0.81200000000000006</v>
          </cell>
          <cell r="F31">
            <v>0.69450000000000001</v>
          </cell>
          <cell r="G31">
            <v>0.38150000000000001</v>
          </cell>
          <cell r="H31">
            <v>12.279000000000002</v>
          </cell>
        </row>
        <row r="32">
          <cell r="A32" t="str">
            <v>09:Q4</v>
          </cell>
          <cell r="B32">
            <v>8.843</v>
          </cell>
          <cell r="C32">
            <v>0.70640000000000003</v>
          </cell>
          <cell r="D32">
            <v>0.72189999999999999</v>
          </cell>
          <cell r="E32">
            <v>0.79500000000000004</v>
          </cell>
          <cell r="F32">
            <v>0.72130000000000005</v>
          </cell>
          <cell r="G32">
            <v>0.3785</v>
          </cell>
          <cell r="H32">
            <v>12.1661</v>
          </cell>
        </row>
        <row r="33">
          <cell r="A33" t="str">
            <v>10:Q1</v>
          </cell>
          <cell r="B33">
            <v>8.8339999999999996</v>
          </cell>
          <cell r="C33">
            <v>0.69510000000000005</v>
          </cell>
          <cell r="D33">
            <v>0.70469999999999999</v>
          </cell>
          <cell r="E33">
            <v>0.76239999999999997</v>
          </cell>
          <cell r="F33">
            <v>0.75780000000000003</v>
          </cell>
          <cell r="G33">
            <v>0.3629</v>
          </cell>
          <cell r="H33">
            <v>12.116899999999999</v>
          </cell>
        </row>
        <row r="34">
          <cell r="A34" t="str">
            <v>10:Q2</v>
          </cell>
          <cell r="B34">
            <v>8.7029999999999994</v>
          </cell>
          <cell r="C34">
            <v>0.68259999999999998</v>
          </cell>
          <cell r="D34">
            <v>0.70220000000000005</v>
          </cell>
          <cell r="E34">
            <v>0.74439999999999995</v>
          </cell>
          <cell r="F34">
            <v>0.76170000000000004</v>
          </cell>
          <cell r="G34">
            <v>0.34910000000000002</v>
          </cell>
          <cell r="H34">
            <v>11.943</v>
          </cell>
        </row>
        <row r="35">
          <cell r="A35" t="str">
            <v>10:Q3</v>
          </cell>
          <cell r="B35">
            <v>8.609</v>
          </cell>
          <cell r="C35">
            <v>0.6734</v>
          </cell>
          <cell r="D35">
            <v>0.71</v>
          </cell>
          <cell r="E35">
            <v>0.73109999999999997</v>
          </cell>
          <cell r="F35">
            <v>0.7782</v>
          </cell>
          <cell r="G35">
            <v>0.3427</v>
          </cell>
          <cell r="H35">
            <v>11.8444</v>
          </cell>
        </row>
        <row r="36">
          <cell r="A36" t="str">
            <v>10:Q4</v>
          </cell>
          <cell r="B36">
            <v>8.452</v>
          </cell>
          <cell r="C36">
            <v>0.66779999999999995</v>
          </cell>
          <cell r="D36">
            <v>0.71099999999999997</v>
          </cell>
          <cell r="E36">
            <v>0.72960000000000003</v>
          </cell>
          <cell r="F36">
            <v>0.81179999999999997</v>
          </cell>
          <cell r="G36">
            <v>0.34100000000000003</v>
          </cell>
          <cell r="H36">
            <v>11.713199999999999</v>
          </cell>
        </row>
        <row r="37">
          <cell r="A37" t="str">
            <v>11:Q1</v>
          </cell>
          <cell r="B37">
            <v>8.5440000000000005</v>
          </cell>
          <cell r="C37">
            <v>0.64049999999999996</v>
          </cell>
          <cell r="D37">
            <v>0.7056</v>
          </cell>
          <cell r="E37">
            <v>0.69640000000000002</v>
          </cell>
          <cell r="F37">
            <v>0.83919999999999995</v>
          </cell>
          <cell r="G37">
            <v>0.32869999999999999</v>
          </cell>
          <cell r="H37">
            <v>11.7544</v>
          </cell>
        </row>
        <row r="38">
          <cell r="A38" t="str">
            <v>11:Q2</v>
          </cell>
          <cell r="B38">
            <v>8.516</v>
          </cell>
          <cell r="C38">
            <v>0.62450000000000006</v>
          </cell>
          <cell r="D38">
            <v>0.71299999999999997</v>
          </cell>
          <cell r="E38">
            <v>0.69430000000000003</v>
          </cell>
          <cell r="F38">
            <v>0.85140000000000005</v>
          </cell>
          <cell r="G38">
            <v>0.33029999999999998</v>
          </cell>
          <cell r="H38">
            <v>11.729499999999998</v>
          </cell>
        </row>
        <row r="39">
          <cell r="A39" t="str">
            <v>11:Q3</v>
          </cell>
          <cell r="B39">
            <v>8.4019999999999992</v>
          </cell>
          <cell r="C39">
            <v>0.63870000000000005</v>
          </cell>
          <cell r="D39">
            <v>0.73040000000000005</v>
          </cell>
          <cell r="E39">
            <v>0.69330000000000003</v>
          </cell>
          <cell r="F39">
            <v>0.87019999999999997</v>
          </cell>
          <cell r="G39">
            <v>0.3266</v>
          </cell>
          <cell r="H39">
            <v>11.661200000000001</v>
          </cell>
        </row>
        <row r="40">
          <cell r="A40" t="str">
            <v>11:Q4</v>
          </cell>
          <cell r="B40">
            <v>8.2680000000000007</v>
          </cell>
          <cell r="C40">
            <v>0.62709999999999999</v>
          </cell>
          <cell r="D40">
            <v>0.73409999999999997</v>
          </cell>
          <cell r="E40">
            <v>0.70399999999999996</v>
          </cell>
          <cell r="F40">
            <v>0.87360000000000004</v>
          </cell>
          <cell r="G40">
            <v>0.33</v>
          </cell>
          <cell r="H40">
            <v>11.536800000000001</v>
          </cell>
        </row>
        <row r="41">
          <cell r="A41" t="str">
            <v>12:Q1</v>
          </cell>
          <cell r="B41">
            <v>8.1869999999999994</v>
          </cell>
          <cell r="C41">
            <v>0.61180000000000001</v>
          </cell>
          <cell r="D41">
            <v>0.73650000000000004</v>
          </cell>
          <cell r="E41">
            <v>0.67879999999999996</v>
          </cell>
          <cell r="F41">
            <v>0.90365613</v>
          </cell>
          <cell r="G41">
            <v>0.31850000000000001</v>
          </cell>
          <cell r="H41">
            <v>11.43625613</v>
          </cell>
        </row>
        <row r="42">
          <cell r="A42" t="str">
            <v>12:Q2</v>
          </cell>
          <cell r="B42">
            <v>8.1470000000000002</v>
          </cell>
          <cell r="C42">
            <v>0.58899999999999997</v>
          </cell>
          <cell r="D42">
            <v>0.75</v>
          </cell>
          <cell r="E42">
            <v>0.67200000000000004</v>
          </cell>
          <cell r="F42">
            <v>0.91400000000000003</v>
          </cell>
          <cell r="G42">
            <v>0.312</v>
          </cell>
          <cell r="H42">
            <v>11.384</v>
          </cell>
        </row>
        <row r="43">
          <cell r="A43" t="str">
            <v>12:Q3</v>
          </cell>
          <cell r="B43">
            <v>8.0280000000000005</v>
          </cell>
          <cell r="C43">
            <v>0.57299999999999995</v>
          </cell>
          <cell r="D43">
            <v>0.76800000000000002</v>
          </cell>
          <cell r="E43">
            <v>0.67400000000000004</v>
          </cell>
          <cell r="F43">
            <v>0.95599999999999996</v>
          </cell>
          <cell r="G43">
            <v>0.311</v>
          </cell>
          <cell r="H43">
            <v>11.31</v>
          </cell>
        </row>
        <row r="44">
          <cell r="A44" t="str">
            <v>12:Q4</v>
          </cell>
          <cell r="B44">
            <v>8.0329999999999995</v>
          </cell>
          <cell r="C44">
            <v>0.56299999999999994</v>
          </cell>
          <cell r="D44">
            <v>0.78300000000000003</v>
          </cell>
          <cell r="E44">
            <v>0.67900000000000005</v>
          </cell>
          <cell r="F44">
            <v>0.96599999999999997</v>
          </cell>
          <cell r="G44">
            <v>0.317</v>
          </cell>
          <cell r="H44">
            <v>11.340999999999999</v>
          </cell>
        </row>
        <row r="45">
          <cell r="A45" t="str">
            <v>13:Q1</v>
          </cell>
          <cell r="B45">
            <v>7.9320000000000004</v>
          </cell>
          <cell r="C45">
            <v>0.55200000000000005</v>
          </cell>
          <cell r="D45">
            <v>0.79400000000000004</v>
          </cell>
          <cell r="E45">
            <v>0.66</v>
          </cell>
          <cell r="F45">
            <v>0.98599999999999999</v>
          </cell>
          <cell r="G45">
            <v>0.307</v>
          </cell>
          <cell r="H45">
            <v>11.231000000000002</v>
          </cell>
        </row>
        <row r="46">
          <cell r="A46" t="str">
            <v>13:Q2</v>
          </cell>
          <cell r="B46">
            <v>7.8410000000000002</v>
          </cell>
          <cell r="C46">
            <v>0.54</v>
          </cell>
          <cell r="D46">
            <v>0.81399999999999995</v>
          </cell>
          <cell r="E46">
            <v>0.66800000000000004</v>
          </cell>
          <cell r="F46">
            <v>0.99399999999999999</v>
          </cell>
          <cell r="G46">
            <v>0.29599999999999999</v>
          </cell>
          <cell r="H46">
            <v>11.152999999999999</v>
          </cell>
        </row>
        <row r="47">
          <cell r="A47" t="str">
            <v>13:Q3</v>
          </cell>
          <cell r="B47">
            <v>7.8970000000000002</v>
          </cell>
          <cell r="C47">
            <v>0.53500000000000003</v>
          </cell>
          <cell r="D47">
            <v>0.84499999999999997</v>
          </cell>
          <cell r="E47">
            <v>0.67200000000000004</v>
          </cell>
          <cell r="F47">
            <v>1.0269999999999999</v>
          </cell>
          <cell r="G47">
            <v>0.30399999999999999</v>
          </cell>
          <cell r="H47">
            <v>11.280000000000001</v>
          </cell>
        </row>
        <row r="48">
          <cell r="A48" t="str">
            <v>13:Q4</v>
          </cell>
          <cell r="B48">
            <v>8.0489999999999995</v>
          </cell>
          <cell r="C48">
            <v>0.52900000000000003</v>
          </cell>
          <cell r="D48">
            <v>0.86299999999999999</v>
          </cell>
          <cell r="E48">
            <v>0.68300000000000005</v>
          </cell>
          <cell r="F48">
            <v>1.08</v>
          </cell>
          <cell r="G48">
            <v>0.317</v>
          </cell>
          <cell r="H48">
            <v>11.520999999999999</v>
          </cell>
        </row>
        <row r="49">
          <cell r="A49" t="str">
            <v>14:Q1</v>
          </cell>
          <cell r="B49">
            <v>8.1649999999999991</v>
          </cell>
          <cell r="C49">
            <v>0.52600000000000002</v>
          </cell>
          <cell r="D49">
            <v>0.875</v>
          </cell>
          <cell r="E49">
            <v>0.65900000000000003</v>
          </cell>
          <cell r="F49">
            <v>1.111</v>
          </cell>
          <cell r="G49">
            <v>0.314</v>
          </cell>
          <cell r="H49">
            <v>11.65</v>
          </cell>
        </row>
        <row r="50">
          <cell r="A50" t="str">
            <v>14:Q2</v>
          </cell>
          <cell r="B50">
            <v>8.0960000000000001</v>
          </cell>
          <cell r="C50">
            <v>0.52100000000000002</v>
          </cell>
          <cell r="D50">
            <v>0.90500000000000003</v>
          </cell>
          <cell r="E50">
            <v>0.66900000000000004</v>
          </cell>
          <cell r="F50">
            <v>1.1180000000000001</v>
          </cell>
          <cell r="G50">
            <v>0.32300000000000001</v>
          </cell>
          <cell r="H50">
            <v>11.632000000000001</v>
          </cell>
        </row>
        <row r="51">
          <cell r="A51" t="str">
            <v>14:Q3</v>
          </cell>
          <cell r="B51">
            <v>8.1310000000000002</v>
          </cell>
          <cell r="C51">
            <v>0.51200000000000001</v>
          </cell>
          <cell r="D51">
            <v>0.93400000000000005</v>
          </cell>
          <cell r="E51">
            <v>0.68</v>
          </cell>
          <cell r="F51">
            <v>1.1259999999999999</v>
          </cell>
          <cell r="G51">
            <v>0.32700000000000001</v>
          </cell>
          <cell r="H51">
            <v>11.709999999999999</v>
          </cell>
        </row>
        <row r="52">
          <cell r="A52" t="str">
            <v>14:Q4</v>
          </cell>
          <cell r="B52">
            <v>8.17</v>
          </cell>
          <cell r="C52">
            <v>0.51</v>
          </cell>
          <cell r="D52">
            <v>0.95499999999999996</v>
          </cell>
          <cell r="E52">
            <v>0.7</v>
          </cell>
          <cell r="F52">
            <v>1.157</v>
          </cell>
          <cell r="G52">
            <v>0.33500000000000002</v>
          </cell>
          <cell r="H52">
            <v>11.827</v>
          </cell>
        </row>
        <row r="53">
          <cell r="A53" t="str">
            <v>15:Q1</v>
          </cell>
          <cell r="B53">
            <v>8.1709999999999994</v>
          </cell>
          <cell r="C53">
            <v>0.51</v>
          </cell>
          <cell r="D53">
            <v>0.96799999999999997</v>
          </cell>
          <cell r="E53">
            <v>0.68400000000000005</v>
          </cell>
          <cell r="F53">
            <v>1.1890000000000001</v>
          </cell>
          <cell r="G53">
            <v>0.32900000000000001</v>
          </cell>
          <cell r="H53">
            <v>11.850999999999999</v>
          </cell>
        </row>
        <row r="54">
          <cell r="A54" t="str">
            <v>15:Q2</v>
          </cell>
          <cell r="B54">
            <v>8.1159999999999997</v>
          </cell>
          <cell r="C54">
            <v>0.499</v>
          </cell>
          <cell r="D54">
            <v>1.006</v>
          </cell>
          <cell r="E54">
            <v>0.70299999999999996</v>
          </cell>
          <cell r="F54">
            <v>1.19</v>
          </cell>
          <cell r="G54">
            <v>0.33900000000000002</v>
          </cell>
          <cell r="H54">
            <v>11.853</v>
          </cell>
        </row>
        <row r="55">
          <cell r="A55" t="str">
            <v>15:Q3</v>
          </cell>
          <cell r="B55">
            <v>8.26</v>
          </cell>
          <cell r="C55">
            <v>0.49199999999999999</v>
          </cell>
          <cell r="D55">
            <v>1.0449999999999999</v>
          </cell>
          <cell r="E55">
            <v>0.71399999999999997</v>
          </cell>
          <cell r="F55">
            <v>1.2030000000000001</v>
          </cell>
          <cell r="G55">
            <v>0.35099999999999998</v>
          </cell>
          <cell r="H55">
            <v>12.064999999999998</v>
          </cell>
        </row>
        <row r="56">
          <cell r="A56" t="str">
            <v>15:Q4</v>
          </cell>
          <cell r="B56">
            <v>8.2490000000000006</v>
          </cell>
          <cell r="C56">
            <v>0.48699999999999999</v>
          </cell>
          <cell r="D56">
            <v>1.0640000000000001</v>
          </cell>
          <cell r="E56">
            <v>0.73299999999999998</v>
          </cell>
          <cell r="F56">
            <v>1.232</v>
          </cell>
          <cell r="G56">
            <v>0.35099999999999998</v>
          </cell>
          <cell r="H56">
            <v>12.116</v>
          </cell>
        </row>
        <row r="57">
          <cell r="A57" t="str">
            <v>16:Q1</v>
          </cell>
          <cell r="B57">
            <v>8.3689999999999998</v>
          </cell>
          <cell r="C57">
            <v>0.48499999999999999</v>
          </cell>
          <cell r="D57">
            <v>1.071</v>
          </cell>
          <cell r="E57">
            <v>0.71199999999999997</v>
          </cell>
          <cell r="F57">
            <v>1.2609999999999999</v>
          </cell>
          <cell r="G57">
            <v>0.35399999999999998</v>
          </cell>
          <cell r="H57">
            <v>12.251999999999997</v>
          </cell>
        </row>
        <row r="58">
          <cell r="A58" t="str">
            <v>16:Q2</v>
          </cell>
          <cell r="B58">
            <v>8.3620000000000001</v>
          </cell>
          <cell r="C58">
            <v>0.47799999999999998</v>
          </cell>
          <cell r="D58">
            <v>1.103</v>
          </cell>
          <cell r="E58">
            <v>0.72899999999999998</v>
          </cell>
          <cell r="F58">
            <v>1.2589999999999999</v>
          </cell>
          <cell r="G58">
            <v>0.35599999999999998</v>
          </cell>
          <cell r="H58">
            <v>12.286999999999999</v>
          </cell>
        </row>
        <row r="59">
          <cell r="A59" t="str">
            <v>16:Q3</v>
          </cell>
          <cell r="B59">
            <v>8.35</v>
          </cell>
          <cell r="C59">
            <v>0.47199999999999998</v>
          </cell>
          <cell r="D59">
            <v>1.135</v>
          </cell>
          <cell r="E59">
            <v>0.747</v>
          </cell>
          <cell r="F59">
            <v>1.2789999999999999</v>
          </cell>
          <cell r="G59">
            <v>0.36699999999999999</v>
          </cell>
          <cell r="H59">
            <v>12.349999999999998</v>
          </cell>
        </row>
        <row r="60">
          <cell r="A60" t="str">
            <v>16:Q4</v>
          </cell>
          <cell r="B60">
            <v>8.48</v>
          </cell>
          <cell r="C60">
            <v>0.47299999999999998</v>
          </cell>
          <cell r="D60">
            <v>1.157</v>
          </cell>
          <cell r="E60">
            <v>0.77900000000000003</v>
          </cell>
          <cell r="F60">
            <v>1.31</v>
          </cell>
          <cell r="G60">
            <v>0.377</v>
          </cell>
          <cell r="H60">
            <v>12.576000000000002</v>
          </cell>
        </row>
        <row r="61">
          <cell r="A61" t="str">
            <v>17:Q1</v>
          </cell>
          <cell r="B61">
            <v>8.6270000000000007</v>
          </cell>
          <cell r="C61">
            <v>0.45600000000000002</v>
          </cell>
          <cell r="D61">
            <v>1.167</v>
          </cell>
          <cell r="E61">
            <v>0.76400000000000001</v>
          </cell>
          <cell r="F61">
            <v>1.3440000000000001</v>
          </cell>
          <cell r="G61">
            <v>0.36699999999999999</v>
          </cell>
          <cell r="H61">
            <v>12.724999999999998</v>
          </cell>
        </row>
        <row r="62">
          <cell r="A62" t="str">
            <v>17:Q2</v>
          </cell>
          <cell r="B62">
            <v>8.6910000000000007</v>
          </cell>
          <cell r="C62">
            <v>0.45200000000000001</v>
          </cell>
          <cell r="D62">
            <v>1.19</v>
          </cell>
          <cell r="E62">
            <v>0.78400000000000003</v>
          </cell>
          <cell r="F62">
            <v>1.3440000000000001</v>
          </cell>
          <cell r="G62">
            <v>0.378</v>
          </cell>
          <cell r="H62">
            <v>12.839</v>
          </cell>
        </row>
        <row r="63">
          <cell r="A63" t="str">
            <v>17:Q3</v>
          </cell>
          <cell r="B63">
            <v>8.7430000000000003</v>
          </cell>
          <cell r="C63">
            <v>0.44800000000000001</v>
          </cell>
          <cell r="D63">
            <v>1.2130000000000001</v>
          </cell>
          <cell r="E63">
            <v>0.80800000000000005</v>
          </cell>
          <cell r="F63">
            <v>1.357</v>
          </cell>
          <cell r="G63">
            <v>0.38600000000000001</v>
          </cell>
          <cell r="H63">
            <v>12.954999999999998</v>
          </cell>
        </row>
        <row r="64">
          <cell r="A64" t="str">
            <v>17:Q4</v>
          </cell>
          <cell r="B64">
            <v>8.8819999999999997</v>
          </cell>
          <cell r="C64">
            <v>0.44400000000000001</v>
          </cell>
          <cell r="D64">
            <v>1.2210000000000001</v>
          </cell>
          <cell r="E64">
            <v>0.83399999999999996</v>
          </cell>
          <cell r="F64">
            <v>1.3779999999999999</v>
          </cell>
          <cell r="G64">
            <v>0.38900000000000001</v>
          </cell>
          <cell r="H64">
            <v>13.148</v>
          </cell>
        </row>
        <row r="65">
          <cell r="A65" t="str">
            <v>18:Q1</v>
          </cell>
          <cell r="B65">
            <v>8.9390000000000001</v>
          </cell>
          <cell r="C65">
            <v>0.436</v>
          </cell>
          <cell r="D65">
            <v>1.2290000000000001</v>
          </cell>
          <cell r="E65">
            <v>0.81499999999999995</v>
          </cell>
          <cell r="F65">
            <v>1.407</v>
          </cell>
          <cell r="G65">
            <v>0.38500000000000001</v>
          </cell>
          <cell r="H65">
            <v>13.210999999999999</v>
          </cell>
        </row>
        <row r="66">
          <cell r="A66" t="str">
            <v>18:Q2</v>
          </cell>
          <cell r="B66">
            <v>8.9990000000000006</v>
          </cell>
          <cell r="C66">
            <v>0.432</v>
          </cell>
          <cell r="D66">
            <v>1.238</v>
          </cell>
          <cell r="E66">
            <v>0.82899999999999996</v>
          </cell>
          <cell r="F66">
            <v>1.405</v>
          </cell>
          <cell r="G66">
            <v>0.39</v>
          </cell>
          <cell r="H66">
            <v>13.293000000000001</v>
          </cell>
        </row>
        <row r="67">
          <cell r="A67" t="str">
            <v>18:Q3</v>
          </cell>
          <cell r="B67">
            <v>9.14</v>
          </cell>
          <cell r="C67">
            <v>0.42199999999999999</v>
          </cell>
          <cell r="D67">
            <v>1.2649999999999999</v>
          </cell>
          <cell r="E67">
            <v>0.84399999999999997</v>
          </cell>
          <cell r="F67">
            <v>1.4419999999999999</v>
          </cell>
          <cell r="G67">
            <v>0.39900000000000002</v>
          </cell>
          <cell r="H67">
            <v>13.512</v>
          </cell>
        </row>
        <row r="68">
          <cell r="A68" t="str">
            <v>18:Q4</v>
          </cell>
          <cell r="B68">
            <v>9.1240000000000006</v>
          </cell>
          <cell r="C68">
            <v>0.41199999999999998</v>
          </cell>
          <cell r="D68">
            <v>1.274</v>
          </cell>
          <cell r="E68">
            <v>0.87</v>
          </cell>
          <cell r="F68">
            <v>1.4570000000000001</v>
          </cell>
          <cell r="G68">
            <v>0.40699999999999997</v>
          </cell>
          <cell r="H68">
            <v>13.544000000000002</v>
          </cell>
        </row>
        <row r="69">
          <cell r="A69" t="str">
            <v>19:Q1</v>
          </cell>
          <cell r="B69">
            <v>9.2439999999999998</v>
          </cell>
          <cell r="C69">
            <v>0.40600000000000003</v>
          </cell>
          <cell r="D69">
            <v>1.28</v>
          </cell>
          <cell r="E69">
            <v>0.84799999999999998</v>
          </cell>
          <cell r="F69">
            <v>1.486</v>
          </cell>
          <cell r="G69">
            <v>0.40400000000000003</v>
          </cell>
          <cell r="H69">
            <v>13.668000000000001</v>
          </cell>
        </row>
        <row r="70">
          <cell r="A70" t="str">
            <v>19:Q2</v>
          </cell>
          <cell r="B70">
            <v>9.4060000000000006</v>
          </cell>
          <cell r="C70">
            <v>0.39900000000000002</v>
          </cell>
          <cell r="D70">
            <v>1.2969999999999999</v>
          </cell>
          <cell r="E70">
            <v>0.86799999999999999</v>
          </cell>
          <cell r="F70">
            <v>1.478</v>
          </cell>
          <cell r="G70">
            <v>0.41199999999999998</v>
          </cell>
          <cell r="H70">
            <v>13.860000000000001</v>
          </cell>
        </row>
        <row r="71">
          <cell r="A71" t="str">
            <v>19:Q3</v>
          </cell>
          <cell r="B71">
            <v>9.4369999999999994</v>
          </cell>
          <cell r="C71">
            <v>0.39600000000000002</v>
          </cell>
          <cell r="D71">
            <v>1.3149999999999999</v>
          </cell>
          <cell r="E71">
            <v>0.88100000000000001</v>
          </cell>
          <cell r="F71">
            <v>1.498</v>
          </cell>
          <cell r="G71">
            <v>0.42499999999999999</v>
          </cell>
          <cell r="H71">
            <v>13.952</v>
          </cell>
        </row>
        <row r="72">
          <cell r="A72" t="str">
            <v>19:Q4</v>
          </cell>
          <cell r="B72">
            <v>9.5570000000000004</v>
          </cell>
          <cell r="C72">
            <v>0.39</v>
          </cell>
          <cell r="D72">
            <v>1.331</v>
          </cell>
          <cell r="E72">
            <v>0.92700000000000005</v>
          </cell>
          <cell r="F72">
            <v>1.508</v>
          </cell>
          <cell r="G72">
            <v>0.432</v>
          </cell>
          <cell r="H72">
            <v>14.145000000000001</v>
          </cell>
        </row>
        <row r="73">
          <cell r="A73" t="str">
            <v>20:Q1</v>
          </cell>
          <cell r="B73">
            <v>9.7129999999999992</v>
          </cell>
          <cell r="C73">
            <v>0.38600000000000001</v>
          </cell>
          <cell r="D73">
            <v>1.3460000000000001</v>
          </cell>
          <cell r="E73">
            <v>0.89300000000000002</v>
          </cell>
          <cell r="F73">
            <v>1.5349999999999999</v>
          </cell>
          <cell r="G73">
            <v>0.42699999999999999</v>
          </cell>
          <cell r="H73">
            <v>14.299999999999999</v>
          </cell>
        </row>
        <row r="74">
          <cell r="A74" t="str">
            <v>20:Q2</v>
          </cell>
          <cell r="B74">
            <v>9.7759999999999998</v>
          </cell>
          <cell r="C74">
            <v>0.375</v>
          </cell>
          <cell r="D74">
            <v>1.343</v>
          </cell>
          <cell r="E74">
            <v>0.81699999999999995</v>
          </cell>
          <cell r="F74">
            <v>1.5369999999999999</v>
          </cell>
          <cell r="G74">
            <v>0.41799999999999998</v>
          </cell>
          <cell r="H74">
            <v>14.265999999999998</v>
          </cell>
        </row>
        <row r="75">
          <cell r="A75" t="str">
            <v>20:Q3</v>
          </cell>
          <cell r="B75">
            <v>9.8610000000000007</v>
          </cell>
          <cell r="C75">
            <v>0.36199999999999999</v>
          </cell>
          <cell r="D75">
            <v>1.36</v>
          </cell>
          <cell r="E75">
            <v>0.80700000000000005</v>
          </cell>
          <cell r="F75">
            <v>1.546</v>
          </cell>
          <cell r="G75">
            <v>0.41699999999999998</v>
          </cell>
          <cell r="H75">
            <v>14.353</v>
          </cell>
        </row>
        <row r="76">
          <cell r="A76" t="str">
            <v>20:Q4</v>
          </cell>
          <cell r="B76">
            <v>10.042999999999999</v>
          </cell>
          <cell r="C76">
            <v>0.34899999999999998</v>
          </cell>
          <cell r="D76">
            <v>1.3740000000000001</v>
          </cell>
          <cell r="E76">
            <v>0.81899999999999995</v>
          </cell>
          <cell r="F76">
            <v>1.5549999999999999</v>
          </cell>
          <cell r="G76">
            <v>0.41899999999999998</v>
          </cell>
          <cell r="H76">
            <v>14.559000000000001</v>
          </cell>
        </row>
        <row r="77">
          <cell r="A77" t="str">
            <v>21:Q1</v>
          </cell>
          <cell r="B77">
            <v>10.16</v>
          </cell>
          <cell r="C77">
            <v>0.33500000000000002</v>
          </cell>
          <cell r="D77">
            <v>1.3819999999999999</v>
          </cell>
          <cell r="E77">
            <v>0.77</v>
          </cell>
          <cell r="F77">
            <v>1.5840000000000001</v>
          </cell>
          <cell r="G77">
            <v>0.41299999999999998</v>
          </cell>
          <cell r="H77">
            <v>14.644</v>
          </cell>
        </row>
        <row r="78">
          <cell r="A78" t="str">
            <v>21:Q2</v>
          </cell>
          <cell r="B78">
            <v>10.442</v>
          </cell>
          <cell r="C78">
            <v>0.32200000000000001</v>
          </cell>
          <cell r="D78">
            <v>1.415</v>
          </cell>
          <cell r="E78">
            <v>0.78700000000000003</v>
          </cell>
          <cell r="F78">
            <v>1.57</v>
          </cell>
          <cell r="G78">
            <v>0.42099999999999999</v>
          </cell>
          <cell r="H78">
            <v>14.956999999999999</v>
          </cell>
        </row>
        <row r="79">
          <cell r="A79" t="str">
            <v>21:Q3</v>
          </cell>
          <cell r="B79">
            <v>10.672000000000001</v>
          </cell>
          <cell r="C79">
            <v>0.317</v>
          </cell>
          <cell r="D79">
            <v>1.4430000000000001</v>
          </cell>
          <cell r="E79">
            <v>0.80400000000000005</v>
          </cell>
          <cell r="F79">
            <v>1.5840000000000001</v>
          </cell>
          <cell r="G79">
            <v>0.42299999999999999</v>
          </cell>
          <cell r="H79">
            <v>15.243</v>
          </cell>
        </row>
        <row r="80">
          <cell r="A80" t="str">
            <v>21:Q4</v>
          </cell>
          <cell r="B80">
            <v>10.93</v>
          </cell>
          <cell r="C80">
            <v>0.318</v>
          </cell>
          <cell r="D80">
            <v>1.458</v>
          </cell>
          <cell r="E80">
            <v>0.85599999999999998</v>
          </cell>
          <cell r="F80">
            <v>1.5760000000000001</v>
          </cell>
          <cell r="G80">
            <v>0.438</v>
          </cell>
          <cell r="H80">
            <v>15.576000000000001</v>
          </cell>
        </row>
        <row r="81">
          <cell r="A81" t="str">
            <v>22:Q1</v>
          </cell>
          <cell r="B81">
            <v>11.18</v>
          </cell>
          <cell r="C81">
            <v>0.317</v>
          </cell>
          <cell r="D81">
            <v>1.4690000000000001</v>
          </cell>
          <cell r="E81">
            <v>0.84099999999999997</v>
          </cell>
          <cell r="F81">
            <v>1.59</v>
          </cell>
          <cell r="G81">
            <v>0.44500000000000001</v>
          </cell>
          <cell r="H81">
            <v>15.841999999999999</v>
          </cell>
        </row>
        <row r="82">
          <cell r="A82" t="str">
            <v>22:Q2</v>
          </cell>
          <cell r="B82">
            <v>11.387</v>
          </cell>
          <cell r="C82">
            <v>0.31900000000000001</v>
          </cell>
          <cell r="D82">
            <v>1.502</v>
          </cell>
          <cell r="E82">
            <v>0.88700000000000001</v>
          </cell>
          <cell r="F82">
            <v>1.589</v>
          </cell>
          <cell r="G82">
            <v>0.47</v>
          </cell>
          <cell r="H82">
            <v>16.154000000000003</v>
          </cell>
        </row>
        <row r="83">
          <cell r="A83" t="str">
            <v>22:Q3</v>
          </cell>
          <cell r="B83">
            <v>11.669</v>
          </cell>
          <cell r="C83">
            <v>0.32200000000000001</v>
          </cell>
          <cell r="D83">
            <v>1.524</v>
          </cell>
          <cell r="E83">
            <v>0.92500000000000004</v>
          </cell>
          <cell r="F83">
            <v>1.5740000000000001</v>
          </cell>
          <cell r="G83">
            <v>0.49099999999999999</v>
          </cell>
          <cell r="H83">
            <v>16.505000000000003</v>
          </cell>
        </row>
        <row r="84">
          <cell r="A84" t="str">
            <v>22:Q4</v>
          </cell>
          <cell r="B84">
            <v>11.923</v>
          </cell>
          <cell r="C84">
            <v>0.33600000000000002</v>
          </cell>
          <cell r="D84">
            <v>1.552</v>
          </cell>
          <cell r="E84">
            <v>0.98599999999999999</v>
          </cell>
          <cell r="F84">
            <v>1.595</v>
          </cell>
          <cell r="G84">
            <v>0.50700000000000001</v>
          </cell>
          <cell r="H84">
            <v>16.899000000000001</v>
          </cell>
        </row>
        <row r="85">
          <cell r="A85" t="str">
            <v>23:Q1</v>
          </cell>
          <cell r="B85">
            <v>12.044</v>
          </cell>
          <cell r="C85">
            <v>0.33900000000000002</v>
          </cell>
          <cell r="D85">
            <v>1.5620000000000001</v>
          </cell>
          <cell r="E85">
            <v>0.98599999999999999</v>
          </cell>
          <cell r="F85">
            <v>1.6040000000000001</v>
          </cell>
          <cell r="G85">
            <v>0.51200000000000001</v>
          </cell>
          <cell r="H85">
            <v>17.047000000000001</v>
          </cell>
        </row>
        <row r="86">
          <cell r="A86" t="str">
            <v>23:Q2</v>
          </cell>
          <cell r="B86">
            <v>12.013999999999999</v>
          </cell>
          <cell r="C86">
            <v>0.34</v>
          </cell>
          <cell r="D86">
            <v>1.5820000000000001</v>
          </cell>
          <cell r="E86">
            <v>1.0309999999999999</v>
          </cell>
          <cell r="F86">
            <v>1.569</v>
          </cell>
          <cell r="G86">
            <v>0.52700000000000002</v>
          </cell>
          <cell r="H86">
            <v>17.063000000000002</v>
          </cell>
        </row>
        <row r="87">
          <cell r="A87" t="str">
            <v>23:Q3</v>
          </cell>
          <cell r="B87">
            <v>12.14</v>
          </cell>
          <cell r="C87">
            <v>0.34899999999999998</v>
          </cell>
          <cell r="D87">
            <v>1.595</v>
          </cell>
          <cell r="E87">
            <v>1.079</v>
          </cell>
          <cell r="F87">
            <v>1.599</v>
          </cell>
          <cell r="G87">
            <v>0.52900000000000003</v>
          </cell>
          <cell r="H87">
            <v>17.291</v>
          </cell>
        </row>
        <row r="88">
          <cell r="A88" t="str">
            <v>23:Q4</v>
          </cell>
          <cell r="B88">
            <v>12.252000000000001</v>
          </cell>
          <cell r="C88">
            <v>0.36</v>
          </cell>
          <cell r="D88">
            <v>1.607</v>
          </cell>
          <cell r="E88">
            <v>1.129</v>
          </cell>
          <cell r="F88">
            <v>1.601</v>
          </cell>
          <cell r="G88">
            <v>0.55400000000000005</v>
          </cell>
          <cell r="H88">
            <v>17.502999999999997</v>
          </cell>
        </row>
        <row r="89">
          <cell r="A89" t="str">
            <v>24:Q1</v>
          </cell>
          <cell r="B89">
            <v>12.442</v>
          </cell>
          <cell r="C89">
            <v>0.376</v>
          </cell>
          <cell r="D89">
            <v>1.6160000000000001</v>
          </cell>
          <cell r="E89">
            <v>1.115</v>
          </cell>
          <cell r="F89">
            <v>1.595</v>
          </cell>
          <cell r="G89">
            <v>0.54300000000000004</v>
          </cell>
          <cell r="H89">
            <v>17.686999999999998</v>
          </cell>
        </row>
        <row r="90">
          <cell r="A90" t="str">
            <v>24:Q2</v>
          </cell>
          <cell r="B90">
            <v>12.519</v>
          </cell>
          <cell r="C90">
            <v>0.38</v>
          </cell>
          <cell r="D90">
            <v>1.6259999999999999</v>
          </cell>
          <cell r="E90">
            <v>1.1419999999999999</v>
          </cell>
          <cell r="F90">
            <v>1.585</v>
          </cell>
          <cell r="G90">
            <v>0.54400000000000004</v>
          </cell>
          <cell r="H90">
            <v>17.795999999999999</v>
          </cell>
        </row>
        <row r="91">
          <cell r="A91" t="str">
            <v>24:Q3</v>
          </cell>
          <cell r="B91">
            <v>12.593999999999999</v>
          </cell>
          <cell r="C91">
            <v>0.38700000000000001</v>
          </cell>
          <cell r="D91">
            <v>1.6439999999999999</v>
          </cell>
          <cell r="E91">
            <v>1.1659999999999999</v>
          </cell>
          <cell r="F91">
            <v>1.6060000000000001</v>
          </cell>
          <cell r="G91">
            <v>0.54600000000000004</v>
          </cell>
          <cell r="H91">
            <v>17.943000000000001</v>
          </cell>
        </row>
        <row r="92">
          <cell r="A92" t="str">
            <v>24:Q4</v>
          </cell>
          <cell r="B92">
            <v>12.605</v>
          </cell>
          <cell r="C92">
            <v>0.39600000000000002</v>
          </cell>
          <cell r="D92">
            <v>1.655</v>
          </cell>
          <cell r="E92">
            <v>1.2110000000000001</v>
          </cell>
          <cell r="F92">
            <v>1.615</v>
          </cell>
          <cell r="G92">
            <v>0.55400000000000005</v>
          </cell>
          <cell r="H92">
            <v>18.035999999999998</v>
          </cell>
        </row>
        <row r="93">
          <cell r="A93" t="str">
            <v>25:Q1</v>
          </cell>
          <cell r="B93">
            <v>12.804</v>
          </cell>
          <cell r="C93">
            <v>0.40200000000000002</v>
          </cell>
          <cell r="D93">
            <v>1.6419999999999999</v>
          </cell>
          <cell r="E93">
            <v>1.1819999999999999</v>
          </cell>
          <cell r="F93">
            <v>1.631</v>
          </cell>
          <cell r="G93">
            <v>0.54200000000000004</v>
          </cell>
          <cell r="H93">
            <v>18.202999999999999</v>
          </cell>
        </row>
        <row r="94">
          <cell r="A94" t="str">
            <v>25:Q2</v>
          </cell>
          <cell r="B94">
            <v>12.935</v>
          </cell>
          <cell r="C94">
            <v>0.41099999999999998</v>
          </cell>
          <cell r="D94">
            <v>1.655</v>
          </cell>
          <cell r="E94">
            <v>1.2090000000000001</v>
          </cell>
          <cell r="F94">
            <v>1.6379999999999999</v>
          </cell>
          <cell r="G94">
            <v>0.54</v>
          </cell>
          <cell r="H94">
            <v>18.387999999999998</v>
          </cell>
        </row>
        <row r="95">
          <cell r="A95" t="str">
            <v>25:Q3</v>
          </cell>
          <cell r="B95">
            <v>13.071999999999999</v>
          </cell>
          <cell r="C95">
            <v>0.42199999999999999</v>
          </cell>
          <cell r="D95">
            <v>1.655</v>
          </cell>
          <cell r="E95">
            <v>1.2330000000000001</v>
          </cell>
          <cell r="F95">
            <v>1.653</v>
          </cell>
          <cell r="G95">
            <v>0.55000000000000004</v>
          </cell>
          <cell r="H95">
            <v>18.584999999999997</v>
          </cell>
        </row>
        <row r="96">
          <cell r="A96" t="str">
            <v>25:Q4</v>
          </cell>
          <cell r="B96">
            <v>13.17</v>
          </cell>
          <cell r="C96">
            <v>0.43359999999999999</v>
          </cell>
          <cell r="D96">
            <v>1.667</v>
          </cell>
          <cell r="E96">
            <v>1.2769999999999999</v>
          </cell>
          <cell r="F96">
            <v>1.6639999999999999</v>
          </cell>
          <cell r="G96">
            <v>0.56410000000000005</v>
          </cell>
          <cell r="H96">
            <v>18.775700000000001</v>
          </cell>
        </row>
        <row r="97">
          <cell r="A97" t="str">
            <v>26:Q1</v>
          </cell>
          <cell r="B97">
            <v>13.191000000000001</v>
          </cell>
          <cell r="C97">
            <v>0.44600000000000001</v>
          </cell>
          <cell r="D97">
            <v>1.6850000000000001</v>
          </cell>
          <cell r="E97">
            <v>1.252</v>
          </cell>
          <cell r="F97">
            <v>1.6579999999999999</v>
          </cell>
          <cell r="G97">
            <v>0.56200000000000006</v>
          </cell>
          <cell r="H97">
            <v>18.794000000000004</v>
          </cell>
        </row>
      </sheetData>
      <sheetData sheetId="3" refreshError="1"/>
      <sheetData sheetId="4">
        <row r="1">
          <cell r="A1" t="str">
            <v>Number of Accounts by Loan Type</v>
          </cell>
        </row>
        <row r="2">
          <cell r="A2" t="str">
            <v>Millions</v>
          </cell>
        </row>
        <row r="3">
          <cell r="A3" t="str">
            <v>Return to Table of Contents</v>
          </cell>
        </row>
        <row r="4">
          <cell r="B4" t="str">
            <v>Auto Loan</v>
          </cell>
          <cell r="C4" t="str">
            <v>Credit Card</v>
          </cell>
          <cell r="D4" t="str">
            <v>Mortgage</v>
          </cell>
          <cell r="E4" t="str">
            <v>HE Revolving</v>
          </cell>
        </row>
        <row r="5">
          <cell r="A5">
            <v>37681</v>
          </cell>
          <cell r="B5">
            <v>73.510000000000005</v>
          </cell>
          <cell r="C5">
            <v>469.81</v>
          </cell>
          <cell r="D5">
            <v>79.540000000000006</v>
          </cell>
          <cell r="E5">
            <v>13.41</v>
          </cell>
        </row>
        <row r="6">
          <cell r="A6">
            <v>37773</v>
          </cell>
          <cell r="B6">
            <v>70.760000000000005</v>
          </cell>
          <cell r="C6">
            <v>468.94</v>
          </cell>
          <cell r="D6">
            <v>79.73</v>
          </cell>
          <cell r="E6">
            <v>14.22</v>
          </cell>
        </row>
        <row r="7">
          <cell r="A7">
            <v>37865</v>
          </cell>
          <cell r="B7">
            <v>75.94</v>
          </cell>
          <cell r="C7">
            <v>457.64</v>
          </cell>
          <cell r="D7">
            <v>79.34</v>
          </cell>
          <cell r="E7">
            <v>15.55</v>
          </cell>
        </row>
        <row r="8">
          <cell r="A8">
            <v>37956</v>
          </cell>
          <cell r="B8">
            <v>77.64</v>
          </cell>
          <cell r="C8">
            <v>452.71</v>
          </cell>
          <cell r="D8">
            <v>83.42</v>
          </cell>
          <cell r="E8">
            <v>16.100000000000001</v>
          </cell>
        </row>
        <row r="9">
          <cell r="A9">
            <v>38047</v>
          </cell>
          <cell r="B9">
            <v>79.22</v>
          </cell>
          <cell r="C9">
            <v>449.62</v>
          </cell>
          <cell r="D9">
            <v>83.95</v>
          </cell>
          <cell r="E9">
            <v>16.73</v>
          </cell>
        </row>
        <row r="10">
          <cell r="A10">
            <v>38139</v>
          </cell>
          <cell r="B10">
            <v>80.73</v>
          </cell>
          <cell r="C10">
            <v>458.26</v>
          </cell>
          <cell r="D10">
            <v>84.74</v>
          </cell>
          <cell r="E10">
            <v>17.66</v>
          </cell>
        </row>
        <row r="11">
          <cell r="A11">
            <v>38231</v>
          </cell>
          <cell r="B11">
            <v>81.7</v>
          </cell>
          <cell r="C11">
            <v>447.07</v>
          </cell>
          <cell r="D11">
            <v>84.87</v>
          </cell>
          <cell r="E11">
            <v>19.75</v>
          </cell>
        </row>
        <row r="12">
          <cell r="A12">
            <v>38322</v>
          </cell>
          <cell r="B12">
            <v>78.48</v>
          </cell>
          <cell r="C12">
            <v>448.43</v>
          </cell>
          <cell r="D12">
            <v>85.3</v>
          </cell>
          <cell r="E12">
            <v>20.84</v>
          </cell>
        </row>
        <row r="13">
          <cell r="A13">
            <v>38412</v>
          </cell>
          <cell r="B13">
            <v>78.5</v>
          </cell>
          <cell r="C13">
            <v>451.95</v>
          </cell>
          <cell r="D13">
            <v>85.56</v>
          </cell>
          <cell r="E13">
            <v>21.91</v>
          </cell>
        </row>
        <row r="14">
          <cell r="A14">
            <v>38504</v>
          </cell>
          <cell r="B14">
            <v>82.38</v>
          </cell>
          <cell r="C14">
            <v>450.14</v>
          </cell>
          <cell r="D14">
            <v>86.3</v>
          </cell>
          <cell r="E14">
            <v>22.59</v>
          </cell>
        </row>
        <row r="15">
          <cell r="A15">
            <v>38596</v>
          </cell>
          <cell r="B15">
            <v>83.63</v>
          </cell>
          <cell r="C15">
            <v>452.34</v>
          </cell>
          <cell r="D15">
            <v>87.15</v>
          </cell>
          <cell r="E15">
            <v>22.99</v>
          </cell>
        </row>
        <row r="16">
          <cell r="A16">
            <v>38687</v>
          </cell>
          <cell r="B16">
            <v>83.41</v>
          </cell>
          <cell r="C16">
            <v>455.91</v>
          </cell>
          <cell r="D16">
            <v>86.98</v>
          </cell>
          <cell r="E16">
            <v>23.93</v>
          </cell>
        </row>
        <row r="17">
          <cell r="A17">
            <v>38777</v>
          </cell>
          <cell r="B17">
            <v>83.97</v>
          </cell>
          <cell r="C17">
            <v>458.41</v>
          </cell>
          <cell r="D17">
            <v>88.58</v>
          </cell>
          <cell r="E17">
            <v>24.24</v>
          </cell>
        </row>
        <row r="18">
          <cell r="A18">
            <v>38869</v>
          </cell>
          <cell r="B18">
            <v>84.3</v>
          </cell>
          <cell r="C18">
            <v>460.35</v>
          </cell>
          <cell r="D18">
            <v>90.97</v>
          </cell>
          <cell r="E18">
            <v>24.23</v>
          </cell>
        </row>
        <row r="19">
          <cell r="A19">
            <v>38961</v>
          </cell>
          <cell r="B19">
            <v>85.54</v>
          </cell>
          <cell r="C19">
            <v>454.64</v>
          </cell>
          <cell r="D19">
            <v>92.53</v>
          </cell>
          <cell r="E19">
            <v>24.14</v>
          </cell>
        </row>
        <row r="20">
          <cell r="A20">
            <v>39052</v>
          </cell>
          <cell r="B20">
            <v>86.15</v>
          </cell>
          <cell r="C20">
            <v>451.28</v>
          </cell>
          <cell r="D20">
            <v>93.25</v>
          </cell>
          <cell r="E20">
            <v>23.97</v>
          </cell>
        </row>
        <row r="21">
          <cell r="A21">
            <v>39142</v>
          </cell>
          <cell r="B21">
            <v>86.2</v>
          </cell>
          <cell r="C21">
            <v>444.88</v>
          </cell>
          <cell r="D21">
            <v>94.36</v>
          </cell>
          <cell r="E21">
            <v>23.92</v>
          </cell>
        </row>
        <row r="22">
          <cell r="A22">
            <v>39234</v>
          </cell>
          <cell r="B22">
            <v>87.09</v>
          </cell>
          <cell r="C22">
            <v>474.74</v>
          </cell>
          <cell r="D22">
            <v>95.92</v>
          </cell>
          <cell r="E22">
            <v>24.05</v>
          </cell>
        </row>
        <row r="23">
          <cell r="A23">
            <v>39326</v>
          </cell>
          <cell r="B23">
            <v>87.64</v>
          </cell>
          <cell r="C23">
            <v>478.86</v>
          </cell>
          <cell r="D23">
            <v>96.76</v>
          </cell>
          <cell r="E23">
            <v>24.06</v>
          </cell>
        </row>
        <row r="24">
          <cell r="A24">
            <v>39417</v>
          </cell>
          <cell r="B24">
            <v>88.08</v>
          </cell>
          <cell r="C24">
            <v>481.44</v>
          </cell>
          <cell r="D24">
            <v>97.65</v>
          </cell>
          <cell r="E24">
            <v>24.24</v>
          </cell>
        </row>
        <row r="25">
          <cell r="A25">
            <v>39508</v>
          </cell>
          <cell r="B25">
            <v>87.2</v>
          </cell>
          <cell r="C25">
            <v>474.57</v>
          </cell>
          <cell r="D25">
            <v>98.14</v>
          </cell>
          <cell r="E25">
            <v>24.24</v>
          </cell>
        </row>
        <row r="26">
          <cell r="A26">
            <v>39600</v>
          </cell>
          <cell r="B26">
            <v>87.36</v>
          </cell>
          <cell r="C26">
            <v>496.12</v>
          </cell>
          <cell r="D26">
            <v>98</v>
          </cell>
          <cell r="E26">
            <v>24.16</v>
          </cell>
        </row>
        <row r="27">
          <cell r="A27">
            <v>39692</v>
          </cell>
          <cell r="B27">
            <v>87.12</v>
          </cell>
          <cell r="C27">
            <v>492.19</v>
          </cell>
          <cell r="D27">
            <v>97.66</v>
          </cell>
          <cell r="E27">
            <v>24.12</v>
          </cell>
        </row>
        <row r="28">
          <cell r="A28">
            <v>39783</v>
          </cell>
          <cell r="B28">
            <v>86.27</v>
          </cell>
          <cell r="C28">
            <v>472.17</v>
          </cell>
          <cell r="D28">
            <v>97.02</v>
          </cell>
          <cell r="E28">
            <v>24</v>
          </cell>
        </row>
        <row r="29">
          <cell r="A29">
            <v>39873</v>
          </cell>
          <cell r="B29">
            <v>84.9</v>
          </cell>
          <cell r="C29">
            <v>434.25</v>
          </cell>
          <cell r="D29">
            <v>95.45</v>
          </cell>
          <cell r="E29">
            <v>23.74</v>
          </cell>
        </row>
        <row r="30">
          <cell r="A30">
            <v>39965</v>
          </cell>
          <cell r="B30">
            <v>83.3</v>
          </cell>
          <cell r="C30">
            <v>412.38</v>
          </cell>
          <cell r="D30">
            <v>94.44</v>
          </cell>
          <cell r="E30">
            <v>23.32</v>
          </cell>
        </row>
        <row r="31">
          <cell r="A31">
            <v>40057</v>
          </cell>
          <cell r="B31">
            <v>83.32</v>
          </cell>
          <cell r="C31">
            <v>401.77</v>
          </cell>
          <cell r="D31">
            <v>93.03</v>
          </cell>
          <cell r="E31">
            <v>22.93</v>
          </cell>
        </row>
        <row r="32">
          <cell r="A32">
            <v>40148</v>
          </cell>
          <cell r="B32">
            <v>82.58</v>
          </cell>
          <cell r="C32">
            <v>394.27</v>
          </cell>
          <cell r="D32">
            <v>92.12</v>
          </cell>
          <cell r="E32">
            <v>22.48</v>
          </cell>
        </row>
        <row r="33">
          <cell r="A33">
            <v>40238</v>
          </cell>
          <cell r="B33">
            <v>81.400000000000006</v>
          </cell>
          <cell r="C33">
            <v>385.86</v>
          </cell>
          <cell r="D33">
            <v>92.01</v>
          </cell>
          <cell r="E33">
            <v>22.11</v>
          </cell>
        </row>
        <row r="34">
          <cell r="A34">
            <v>40330</v>
          </cell>
          <cell r="B34">
            <v>80.52</v>
          </cell>
          <cell r="C34">
            <v>380.54</v>
          </cell>
          <cell r="D34">
            <v>90.75</v>
          </cell>
          <cell r="E34">
            <v>21.83</v>
          </cell>
        </row>
        <row r="35">
          <cell r="A35">
            <v>40422</v>
          </cell>
          <cell r="B35">
            <v>80.8</v>
          </cell>
          <cell r="C35">
            <v>377.9</v>
          </cell>
          <cell r="D35">
            <v>89.92</v>
          </cell>
          <cell r="E35">
            <v>21.53</v>
          </cell>
        </row>
        <row r="36">
          <cell r="A36">
            <v>40513</v>
          </cell>
          <cell r="B36">
            <v>80.87</v>
          </cell>
          <cell r="C36">
            <v>380.07</v>
          </cell>
          <cell r="D36">
            <v>88.54</v>
          </cell>
          <cell r="E36">
            <v>21.12</v>
          </cell>
        </row>
        <row r="37">
          <cell r="A37">
            <v>40603</v>
          </cell>
          <cell r="B37">
            <v>79.75</v>
          </cell>
          <cell r="C37">
            <v>379.34</v>
          </cell>
          <cell r="D37">
            <v>88.82</v>
          </cell>
          <cell r="E37">
            <v>20.29</v>
          </cell>
        </row>
        <row r="38">
          <cell r="A38" t="str">
            <v>11:Q2</v>
          </cell>
          <cell r="B38">
            <v>79.739999999999995</v>
          </cell>
          <cell r="C38">
            <v>389.17</v>
          </cell>
          <cell r="D38">
            <v>88.43</v>
          </cell>
          <cell r="E38">
            <v>20.22</v>
          </cell>
        </row>
        <row r="39">
          <cell r="A39" t="str">
            <v>11:Q3</v>
          </cell>
          <cell r="B39">
            <v>80.849999999999994</v>
          </cell>
          <cell r="C39">
            <v>383.27</v>
          </cell>
          <cell r="D39">
            <v>87.3</v>
          </cell>
          <cell r="E39">
            <v>20.51</v>
          </cell>
        </row>
        <row r="40">
          <cell r="A40" t="str">
            <v>11:Q4</v>
          </cell>
          <cell r="B40">
            <v>80.61</v>
          </cell>
          <cell r="C40">
            <v>386.2</v>
          </cell>
          <cell r="D40">
            <v>86.11</v>
          </cell>
          <cell r="E40">
            <v>20.260000000000002</v>
          </cell>
        </row>
        <row r="41">
          <cell r="A41" t="str">
            <v>12:Q1</v>
          </cell>
          <cell r="B41">
            <v>80.08</v>
          </cell>
          <cell r="C41">
            <v>386.25</v>
          </cell>
          <cell r="D41">
            <v>85.34</v>
          </cell>
          <cell r="E41">
            <v>19.89</v>
          </cell>
        </row>
        <row r="42">
          <cell r="A42" t="str">
            <v>12:Q2</v>
          </cell>
          <cell r="B42">
            <v>80.78</v>
          </cell>
          <cell r="C42">
            <v>383.36</v>
          </cell>
          <cell r="D42">
            <v>84.93</v>
          </cell>
          <cell r="E42">
            <v>19.14</v>
          </cell>
        </row>
        <row r="43">
          <cell r="A43" t="str">
            <v>12:Q3</v>
          </cell>
          <cell r="B43">
            <v>81.75</v>
          </cell>
          <cell r="C43">
            <v>382.12</v>
          </cell>
          <cell r="D43">
            <v>83.56</v>
          </cell>
          <cell r="E43">
            <v>18.57</v>
          </cell>
        </row>
        <row r="44">
          <cell r="A44" t="str">
            <v>12:Q4</v>
          </cell>
          <cell r="B44">
            <v>82.72</v>
          </cell>
          <cell r="C44">
            <v>383.4</v>
          </cell>
          <cell r="D44">
            <v>83.23</v>
          </cell>
          <cell r="E44">
            <v>18.66</v>
          </cell>
        </row>
        <row r="45">
          <cell r="A45" t="str">
            <v>13:Q1</v>
          </cell>
          <cell r="B45">
            <v>83.22</v>
          </cell>
          <cell r="C45">
            <v>383.08</v>
          </cell>
          <cell r="D45">
            <v>81.819999999999993</v>
          </cell>
          <cell r="E45">
            <v>18.52</v>
          </cell>
        </row>
        <row r="46">
          <cell r="A46" t="str">
            <v>13:Q2</v>
          </cell>
          <cell r="B46">
            <v>84.03</v>
          </cell>
          <cell r="C46">
            <v>388.87</v>
          </cell>
          <cell r="D46">
            <v>80.56</v>
          </cell>
          <cell r="E46">
            <v>18.14</v>
          </cell>
        </row>
        <row r="47">
          <cell r="A47" t="str">
            <v>13:Q3</v>
          </cell>
          <cell r="B47">
            <v>85.85</v>
          </cell>
          <cell r="C47">
            <v>391.24</v>
          </cell>
          <cell r="D47">
            <v>80.86</v>
          </cell>
          <cell r="E47">
            <v>17.86</v>
          </cell>
        </row>
        <row r="48">
          <cell r="A48" t="str">
            <v>13:Q4</v>
          </cell>
          <cell r="B48">
            <v>87.03</v>
          </cell>
          <cell r="C48">
            <v>399.01</v>
          </cell>
          <cell r="D48">
            <v>81.599999999999994</v>
          </cell>
          <cell r="E48">
            <v>17.71</v>
          </cell>
        </row>
        <row r="49">
          <cell r="A49" t="str">
            <v>14:Q1</v>
          </cell>
          <cell r="B49">
            <v>87.35</v>
          </cell>
          <cell r="C49">
            <v>401.54</v>
          </cell>
          <cell r="D49">
            <v>82.16</v>
          </cell>
          <cell r="E49">
            <v>17.62</v>
          </cell>
        </row>
        <row r="50">
          <cell r="A50" t="str">
            <v>14:Q2</v>
          </cell>
          <cell r="B50">
            <v>89.2</v>
          </cell>
          <cell r="C50">
            <v>405.89</v>
          </cell>
          <cell r="D50">
            <v>81.08</v>
          </cell>
          <cell r="E50">
            <v>17.45</v>
          </cell>
        </row>
        <row r="51">
          <cell r="A51" t="str">
            <v>14:Q3</v>
          </cell>
          <cell r="B51">
            <v>90.86</v>
          </cell>
          <cell r="C51">
            <v>410.54</v>
          </cell>
          <cell r="D51">
            <v>81.14</v>
          </cell>
          <cell r="E51">
            <v>17.309999999999999</v>
          </cell>
        </row>
        <row r="52">
          <cell r="A52" t="str">
            <v>14:Q4</v>
          </cell>
          <cell r="B52">
            <v>92.69</v>
          </cell>
          <cell r="C52">
            <v>412.99</v>
          </cell>
          <cell r="D52">
            <v>81.430000000000007</v>
          </cell>
          <cell r="E52">
            <v>17.260000000000002</v>
          </cell>
        </row>
        <row r="53">
          <cell r="A53" t="str">
            <v>15:Q1</v>
          </cell>
          <cell r="B53">
            <v>93.52</v>
          </cell>
          <cell r="C53">
            <v>415.77</v>
          </cell>
          <cell r="D53">
            <v>81.260000000000005</v>
          </cell>
          <cell r="E53">
            <v>17.07</v>
          </cell>
        </row>
        <row r="54">
          <cell r="A54" t="str">
            <v>15:Q2</v>
          </cell>
          <cell r="B54">
            <v>96.23</v>
          </cell>
          <cell r="C54">
            <v>421.82</v>
          </cell>
          <cell r="D54">
            <v>80.22</v>
          </cell>
          <cell r="E54">
            <v>17.010000000000002</v>
          </cell>
        </row>
        <row r="55">
          <cell r="A55" t="str">
            <v>15:Q3</v>
          </cell>
          <cell r="B55">
            <v>98.55</v>
          </cell>
          <cell r="C55">
            <v>426.63</v>
          </cell>
          <cell r="D55">
            <v>80.849999999999994</v>
          </cell>
          <cell r="E55">
            <v>16.8</v>
          </cell>
        </row>
        <row r="56">
          <cell r="A56" t="str">
            <v>15:Q4</v>
          </cell>
          <cell r="B56">
            <v>100.24</v>
          </cell>
          <cell r="C56">
            <v>424.35</v>
          </cell>
          <cell r="D56">
            <v>80.61</v>
          </cell>
          <cell r="E56">
            <v>16.68</v>
          </cell>
        </row>
        <row r="57">
          <cell r="A57" t="str">
            <v>16:Q1</v>
          </cell>
          <cell r="B57">
            <v>100.47</v>
          </cell>
          <cell r="C57">
            <v>435.61</v>
          </cell>
          <cell r="D57">
            <v>81.06</v>
          </cell>
          <cell r="E57">
            <v>16.62</v>
          </cell>
        </row>
        <row r="58">
          <cell r="A58" t="str">
            <v>16:Q2</v>
          </cell>
          <cell r="B58">
            <v>103.08</v>
          </cell>
          <cell r="C58">
            <v>440.98</v>
          </cell>
          <cell r="D58">
            <v>80.400000000000006</v>
          </cell>
          <cell r="E58">
            <v>16.59</v>
          </cell>
        </row>
        <row r="59">
          <cell r="A59" t="str">
            <v>16:Q3</v>
          </cell>
          <cell r="B59">
            <v>104.98</v>
          </cell>
          <cell r="C59">
            <v>445.04</v>
          </cell>
          <cell r="D59">
            <v>79.680000000000007</v>
          </cell>
          <cell r="E59">
            <v>16.47</v>
          </cell>
        </row>
        <row r="60">
          <cell r="A60" t="str">
            <v>16:Q4</v>
          </cell>
          <cell r="B60">
            <v>106.21</v>
          </cell>
          <cell r="C60">
            <v>453.07</v>
          </cell>
          <cell r="D60">
            <v>79.900000000000006</v>
          </cell>
          <cell r="E60">
            <v>16.260000000000002</v>
          </cell>
        </row>
        <row r="61">
          <cell r="A61" t="str">
            <v>17:Q1</v>
          </cell>
          <cell r="B61">
            <v>106.66</v>
          </cell>
          <cell r="C61">
            <v>454.58</v>
          </cell>
          <cell r="D61">
            <v>80.11</v>
          </cell>
          <cell r="E61">
            <v>15.89</v>
          </cell>
        </row>
        <row r="62">
          <cell r="A62" t="str">
            <v>17:Q2</v>
          </cell>
          <cell r="B62">
            <v>108.11</v>
          </cell>
          <cell r="C62">
            <v>459.31</v>
          </cell>
          <cell r="D62">
            <v>80.08</v>
          </cell>
          <cell r="E62">
            <v>15.86</v>
          </cell>
        </row>
        <row r="63">
          <cell r="A63" t="str">
            <v>17:Q3</v>
          </cell>
          <cell r="B63">
            <v>109.69</v>
          </cell>
          <cell r="C63">
            <v>465.97</v>
          </cell>
          <cell r="D63">
            <v>79.650000000000006</v>
          </cell>
          <cell r="E63">
            <v>15.76</v>
          </cell>
        </row>
        <row r="64">
          <cell r="A64" t="str">
            <v>17:Q4</v>
          </cell>
          <cell r="B64">
            <v>110.19</v>
          </cell>
          <cell r="C64">
            <v>468.76</v>
          </cell>
          <cell r="D64">
            <v>79.989999999999995</v>
          </cell>
          <cell r="E64">
            <v>15.68</v>
          </cell>
        </row>
        <row r="65">
          <cell r="A65" t="str">
            <v>18:Q1</v>
          </cell>
          <cell r="B65">
            <v>110.9</v>
          </cell>
          <cell r="C65">
            <v>466.88</v>
          </cell>
          <cell r="D65">
            <v>79.900000000000006</v>
          </cell>
          <cell r="E65">
            <v>15.76</v>
          </cell>
        </row>
        <row r="66">
          <cell r="A66" t="str">
            <v>18:Q2</v>
          </cell>
          <cell r="B66">
            <v>111.51</v>
          </cell>
          <cell r="C66">
            <v>469.64</v>
          </cell>
          <cell r="D66">
            <v>79.72</v>
          </cell>
          <cell r="E66">
            <v>15.62</v>
          </cell>
        </row>
        <row r="67">
          <cell r="A67" t="str">
            <v>18:Q3</v>
          </cell>
          <cell r="B67">
            <v>113.12</v>
          </cell>
          <cell r="C67">
            <v>474.24</v>
          </cell>
          <cell r="D67">
            <v>80.260000000000005</v>
          </cell>
          <cell r="E67">
            <v>15.45</v>
          </cell>
        </row>
        <row r="68">
          <cell r="A68" t="str">
            <v>18:Q4</v>
          </cell>
          <cell r="B68">
            <v>113.35</v>
          </cell>
          <cell r="C68">
            <v>479.23</v>
          </cell>
          <cell r="D68">
            <v>79.349999999999994</v>
          </cell>
          <cell r="E68">
            <v>15.41</v>
          </cell>
        </row>
        <row r="69">
          <cell r="A69" t="str">
            <v>19:Q1</v>
          </cell>
          <cell r="B69">
            <v>113.91</v>
          </cell>
          <cell r="C69">
            <v>482.7</v>
          </cell>
          <cell r="D69">
            <v>79.92</v>
          </cell>
          <cell r="E69">
            <v>15.31</v>
          </cell>
        </row>
        <row r="70">
          <cell r="A70" t="str">
            <v>19:Q2</v>
          </cell>
          <cell r="B70">
            <v>114.66</v>
          </cell>
          <cell r="C70">
            <v>486.5</v>
          </cell>
          <cell r="D70">
            <v>80.72</v>
          </cell>
          <cell r="E70">
            <v>15.26</v>
          </cell>
        </row>
        <row r="71">
          <cell r="A71" t="str">
            <v>19:Q3</v>
          </cell>
          <cell r="B71">
            <v>114.87</v>
          </cell>
          <cell r="C71">
            <v>488.92</v>
          </cell>
          <cell r="D71">
            <v>80.77</v>
          </cell>
          <cell r="E71">
            <v>15.14</v>
          </cell>
        </row>
        <row r="72">
          <cell r="A72" t="str">
            <v>19:Q4</v>
          </cell>
          <cell r="B72">
            <v>115.98</v>
          </cell>
          <cell r="C72">
            <v>507.94</v>
          </cell>
          <cell r="D72">
            <v>80.94</v>
          </cell>
          <cell r="E72">
            <v>14.99</v>
          </cell>
        </row>
        <row r="73">
          <cell r="A73" t="str">
            <v>20:Q1</v>
          </cell>
          <cell r="B73">
            <v>116.43</v>
          </cell>
          <cell r="C73">
            <v>511.41</v>
          </cell>
          <cell r="D73">
            <v>81.099999999999994</v>
          </cell>
          <cell r="E73">
            <v>14.82</v>
          </cell>
        </row>
        <row r="74">
          <cell r="A74" t="str">
            <v>20:Q2</v>
          </cell>
          <cell r="B74">
            <v>114.73</v>
          </cell>
          <cell r="C74">
            <v>504.74</v>
          </cell>
          <cell r="D74">
            <v>80.77</v>
          </cell>
          <cell r="E74">
            <v>14.55</v>
          </cell>
        </row>
        <row r="75">
          <cell r="A75" t="str">
            <v>20:Q3</v>
          </cell>
          <cell r="B75">
            <v>114.49</v>
          </cell>
          <cell r="C75">
            <v>505.54</v>
          </cell>
          <cell r="D75">
            <v>80.44</v>
          </cell>
          <cell r="E75">
            <v>14.13</v>
          </cell>
        </row>
        <row r="76">
          <cell r="A76" t="str">
            <v>20:Q4</v>
          </cell>
          <cell r="B76">
            <v>114.13</v>
          </cell>
          <cell r="C76">
            <v>505.62</v>
          </cell>
          <cell r="D76">
            <v>80.599999999999994</v>
          </cell>
          <cell r="E76">
            <v>13.75</v>
          </cell>
        </row>
        <row r="77">
          <cell r="A77" t="str">
            <v>21:Q1</v>
          </cell>
          <cell r="B77">
            <v>113.57</v>
          </cell>
          <cell r="C77">
            <v>505.67</v>
          </cell>
          <cell r="D77">
            <v>80.41</v>
          </cell>
          <cell r="E77">
            <v>13.4</v>
          </cell>
        </row>
        <row r="78">
          <cell r="A78" t="str">
            <v>21:Q2</v>
          </cell>
          <cell r="B78">
            <v>112.78</v>
          </cell>
          <cell r="C78">
            <v>511.61</v>
          </cell>
          <cell r="D78">
            <v>80.78</v>
          </cell>
          <cell r="E78">
            <v>13.07</v>
          </cell>
        </row>
        <row r="79">
          <cell r="A79" t="str">
            <v>21:Q3</v>
          </cell>
          <cell r="B79">
            <v>112.02</v>
          </cell>
          <cell r="C79">
            <v>519.96</v>
          </cell>
          <cell r="D79">
            <v>80.75</v>
          </cell>
          <cell r="E79">
            <v>12.81</v>
          </cell>
        </row>
        <row r="80">
          <cell r="A80" t="str">
            <v>21:Q4</v>
          </cell>
          <cell r="B80">
            <v>111.02</v>
          </cell>
          <cell r="C80">
            <v>531.54</v>
          </cell>
          <cell r="D80">
            <v>80.959999999999994</v>
          </cell>
          <cell r="E80">
            <v>12.75</v>
          </cell>
        </row>
        <row r="81">
          <cell r="A81" t="str">
            <v>22:Q1</v>
          </cell>
          <cell r="B81">
            <v>109.68</v>
          </cell>
          <cell r="C81">
            <v>537.11</v>
          </cell>
          <cell r="D81">
            <v>81.510000000000005</v>
          </cell>
          <cell r="E81">
            <v>12.69</v>
          </cell>
        </row>
        <row r="82">
          <cell r="A82" t="str">
            <v>22:Q2</v>
          </cell>
          <cell r="B82">
            <v>109.02</v>
          </cell>
          <cell r="C82">
            <v>549.87</v>
          </cell>
          <cell r="D82">
            <v>81.37</v>
          </cell>
          <cell r="E82">
            <v>12.81</v>
          </cell>
        </row>
        <row r="83">
          <cell r="A83" t="str">
            <v>22:Q3</v>
          </cell>
          <cell r="B83">
            <v>105.33</v>
          </cell>
          <cell r="C83">
            <v>555.36</v>
          </cell>
          <cell r="D83">
            <v>82.13</v>
          </cell>
          <cell r="E83">
            <v>12.89</v>
          </cell>
        </row>
        <row r="84">
          <cell r="A84" t="str">
            <v>22:Q4</v>
          </cell>
          <cell r="B84">
            <v>107.77</v>
          </cell>
          <cell r="C84">
            <v>564.5</v>
          </cell>
          <cell r="D84">
            <v>83.42</v>
          </cell>
          <cell r="E84">
            <v>13.12</v>
          </cell>
        </row>
        <row r="85">
          <cell r="A85" t="str">
            <v>23:Q1</v>
          </cell>
          <cell r="B85">
            <v>107.59</v>
          </cell>
          <cell r="C85">
            <v>572.87</v>
          </cell>
          <cell r="D85">
            <v>84</v>
          </cell>
          <cell r="E85">
            <v>13.16</v>
          </cell>
        </row>
        <row r="86">
          <cell r="A86" t="str">
            <v>23:Q2</v>
          </cell>
          <cell r="B86">
            <v>107.77</v>
          </cell>
          <cell r="C86">
            <v>578.35</v>
          </cell>
          <cell r="D86">
            <v>83.62</v>
          </cell>
          <cell r="E86">
            <v>13.09</v>
          </cell>
        </row>
        <row r="87">
          <cell r="A87" t="str">
            <v>23:Q3</v>
          </cell>
          <cell r="B87">
            <v>107.45</v>
          </cell>
          <cell r="C87">
            <v>589.63</v>
          </cell>
          <cell r="D87">
            <v>83.96</v>
          </cell>
          <cell r="E87">
            <v>13.07</v>
          </cell>
        </row>
        <row r="88">
          <cell r="A88" t="str">
            <v>23:Q4</v>
          </cell>
          <cell r="B88">
            <v>107.79</v>
          </cell>
          <cell r="C88">
            <v>594.75</v>
          </cell>
          <cell r="D88">
            <v>84.17</v>
          </cell>
          <cell r="E88">
            <v>13.12</v>
          </cell>
        </row>
        <row r="89">
          <cell r="A89" t="str">
            <v>24:Q1</v>
          </cell>
          <cell r="B89">
            <v>108.05</v>
          </cell>
          <cell r="C89">
            <v>596.58000000000004</v>
          </cell>
          <cell r="D89">
            <v>84.94</v>
          </cell>
          <cell r="E89">
            <v>13.13</v>
          </cell>
        </row>
        <row r="90">
          <cell r="A90" t="str">
            <v>24:Q2</v>
          </cell>
          <cell r="B90">
            <v>108.14</v>
          </cell>
          <cell r="C90">
            <v>599.1</v>
          </cell>
          <cell r="D90">
            <v>85.35</v>
          </cell>
          <cell r="E90">
            <v>13.08</v>
          </cell>
        </row>
        <row r="91">
          <cell r="A91" t="str">
            <v>24:Q3</v>
          </cell>
          <cell r="B91">
            <v>108.68</v>
          </cell>
          <cell r="C91">
            <v>600.53</v>
          </cell>
          <cell r="D91">
            <v>84.94</v>
          </cell>
          <cell r="E91">
            <v>13.16</v>
          </cell>
        </row>
        <row r="92">
          <cell r="A92" t="str">
            <v>24:Q4</v>
          </cell>
          <cell r="B92">
            <v>109.11</v>
          </cell>
          <cell r="C92">
            <v>617.41</v>
          </cell>
          <cell r="D92">
            <v>85.1</v>
          </cell>
          <cell r="E92">
            <v>13.16</v>
          </cell>
        </row>
        <row r="93">
          <cell r="A93" t="str">
            <v>25:Q1</v>
          </cell>
          <cell r="B93">
            <v>108.11</v>
          </cell>
          <cell r="C93">
            <v>631.39</v>
          </cell>
          <cell r="D93">
            <v>85.78</v>
          </cell>
          <cell r="E93">
            <v>13.14</v>
          </cell>
        </row>
        <row r="94">
          <cell r="A94" t="str">
            <v>25:Q2</v>
          </cell>
          <cell r="B94">
            <v>108.13</v>
          </cell>
          <cell r="C94">
            <v>636.03</v>
          </cell>
          <cell r="D94">
            <v>86.47</v>
          </cell>
          <cell r="E94">
            <v>13.18</v>
          </cell>
        </row>
        <row r="95">
          <cell r="A95" t="str">
            <v>25:Q3</v>
          </cell>
          <cell r="B95">
            <v>105.89</v>
          </cell>
          <cell r="C95">
            <v>642.30999999999995</v>
          </cell>
          <cell r="D95">
            <v>86.67</v>
          </cell>
          <cell r="E95">
            <v>13.1</v>
          </cell>
        </row>
        <row r="96">
          <cell r="A96" t="str">
            <v>25:Q4</v>
          </cell>
          <cell r="B96">
            <v>107.58</v>
          </cell>
          <cell r="C96">
            <v>648.1</v>
          </cell>
          <cell r="D96">
            <v>86.94</v>
          </cell>
          <cell r="E96">
            <v>13.19</v>
          </cell>
        </row>
        <row r="97">
          <cell r="A97" t="str">
            <v>26:Q1</v>
          </cell>
          <cell r="B97">
            <v>108.14</v>
          </cell>
          <cell r="C97">
            <v>647.96</v>
          </cell>
          <cell r="D97">
            <v>86.97</v>
          </cell>
          <cell r="E97">
            <v>13.23</v>
          </cell>
        </row>
      </sheetData>
      <sheetData sheetId="5" refreshError="1"/>
      <sheetData sheetId="6">
        <row r="1">
          <cell r="A1" t="str">
            <v>Total Number of New and Closed Accounts and Consumer Credit Inquiries</v>
          </cell>
        </row>
        <row r="2">
          <cell r="A2" t="str">
            <v>Millions</v>
          </cell>
        </row>
        <row r="3">
          <cell r="A3" t="str">
            <v>Return to Table of Contents</v>
          </cell>
        </row>
        <row r="4">
          <cell r="B4" t="str">
            <v>inquiry within 6 mo</v>
          </cell>
          <cell r="C4" t="str">
            <v>closed within 12 mo</v>
          </cell>
          <cell r="D4" t="str">
            <v>open within 12 mo</v>
          </cell>
        </row>
        <row r="5">
          <cell r="A5" t="str">
            <v>03:Q1</v>
          </cell>
          <cell r="B5">
            <v>218.76</v>
          </cell>
          <cell r="C5">
            <v>275.44</v>
          </cell>
          <cell r="D5">
            <v>235.03</v>
          </cell>
        </row>
        <row r="6">
          <cell r="A6" t="str">
            <v>03:Q2</v>
          </cell>
          <cell r="B6">
            <v>229.13</v>
          </cell>
          <cell r="C6">
            <v>289.37</v>
          </cell>
          <cell r="D6">
            <v>235.6</v>
          </cell>
        </row>
        <row r="7">
          <cell r="A7" t="str">
            <v>03:Q3</v>
          </cell>
          <cell r="B7">
            <v>239.41</v>
          </cell>
          <cell r="C7">
            <v>289.66000000000003</v>
          </cell>
          <cell r="D7">
            <v>241.85</v>
          </cell>
        </row>
        <row r="8">
          <cell r="A8" t="str">
            <v>03:Q4</v>
          </cell>
          <cell r="B8">
            <v>227.89</v>
          </cell>
          <cell r="C8">
            <v>307.37</v>
          </cell>
          <cell r="D8">
            <v>245.3</v>
          </cell>
        </row>
        <row r="9">
          <cell r="A9" t="str">
            <v>04:Q1</v>
          </cell>
          <cell r="B9">
            <v>219.86</v>
          </cell>
          <cell r="C9">
            <v>284.14999999999998</v>
          </cell>
          <cell r="D9">
            <v>247.11</v>
          </cell>
        </row>
        <row r="10">
          <cell r="A10" t="str">
            <v>04:Q2</v>
          </cell>
          <cell r="B10">
            <v>228.86</v>
          </cell>
          <cell r="C10">
            <v>257.18</v>
          </cell>
          <cell r="D10">
            <v>239.6</v>
          </cell>
        </row>
        <row r="11">
          <cell r="A11" t="str">
            <v>04:Q3</v>
          </cell>
          <cell r="B11">
            <v>234.52</v>
          </cell>
          <cell r="C11">
            <v>243.7</v>
          </cell>
          <cell r="D11">
            <v>231.76</v>
          </cell>
        </row>
        <row r="12">
          <cell r="A12" t="str">
            <v>04:Q4</v>
          </cell>
          <cell r="B12">
            <v>231.69</v>
          </cell>
          <cell r="C12">
            <v>226.02</v>
          </cell>
          <cell r="D12">
            <v>239.48</v>
          </cell>
        </row>
        <row r="13">
          <cell r="A13" t="str">
            <v>05:Q1</v>
          </cell>
          <cell r="B13">
            <v>222.89</v>
          </cell>
          <cell r="C13">
            <v>225.12</v>
          </cell>
          <cell r="D13">
            <v>241.77</v>
          </cell>
        </row>
        <row r="14">
          <cell r="A14" t="str">
            <v>05:Q2</v>
          </cell>
          <cell r="B14">
            <v>222.34</v>
          </cell>
          <cell r="C14">
            <v>217.82</v>
          </cell>
          <cell r="D14">
            <v>243.09</v>
          </cell>
        </row>
        <row r="15">
          <cell r="A15" t="str">
            <v>05:Q3</v>
          </cell>
          <cell r="B15">
            <v>238.12</v>
          </cell>
          <cell r="C15">
            <v>221.15</v>
          </cell>
          <cell r="D15">
            <v>247.25</v>
          </cell>
        </row>
        <row r="16">
          <cell r="A16" t="str">
            <v>05:Q4</v>
          </cell>
          <cell r="B16">
            <v>238.52</v>
          </cell>
          <cell r="C16">
            <v>230.5</v>
          </cell>
          <cell r="D16">
            <v>250.93</v>
          </cell>
        </row>
        <row r="17">
          <cell r="A17" t="str">
            <v>06:Q1</v>
          </cell>
          <cell r="B17">
            <v>232.21</v>
          </cell>
          <cell r="C17">
            <v>217.72</v>
          </cell>
          <cell r="D17">
            <v>253.65</v>
          </cell>
        </row>
        <row r="18">
          <cell r="A18" t="str">
            <v>06:Q2</v>
          </cell>
          <cell r="B18">
            <v>239.42</v>
          </cell>
          <cell r="C18">
            <v>234.23</v>
          </cell>
          <cell r="D18">
            <v>253.33</v>
          </cell>
        </row>
        <row r="19">
          <cell r="A19" t="str">
            <v>06:Q3</v>
          </cell>
          <cell r="B19">
            <v>244.62</v>
          </cell>
          <cell r="C19">
            <v>243.65</v>
          </cell>
          <cell r="D19">
            <v>250.7</v>
          </cell>
        </row>
        <row r="20">
          <cell r="A20" t="str">
            <v>06:Q4</v>
          </cell>
          <cell r="B20">
            <v>235.95</v>
          </cell>
          <cell r="C20">
            <v>237.05</v>
          </cell>
          <cell r="D20">
            <v>249.48</v>
          </cell>
        </row>
        <row r="21">
          <cell r="A21" t="str">
            <v>07:Q1</v>
          </cell>
          <cell r="B21">
            <v>227.92</v>
          </cell>
          <cell r="C21">
            <v>249.1</v>
          </cell>
          <cell r="D21">
            <v>248.41</v>
          </cell>
        </row>
        <row r="22">
          <cell r="A22" t="str">
            <v>07:Q2</v>
          </cell>
          <cell r="B22">
            <v>234.99</v>
          </cell>
          <cell r="C22">
            <v>240.86</v>
          </cell>
          <cell r="D22">
            <v>250.65</v>
          </cell>
        </row>
        <row r="23">
          <cell r="A23" t="str">
            <v>07:Q3</v>
          </cell>
          <cell r="B23">
            <v>241.65</v>
          </cell>
          <cell r="C23">
            <v>221.06</v>
          </cell>
          <cell r="D23">
            <v>248.27</v>
          </cell>
        </row>
        <row r="24">
          <cell r="A24" t="str">
            <v>07:Q4</v>
          </cell>
          <cell r="B24">
            <v>230.59</v>
          </cell>
          <cell r="C24">
            <v>215.54</v>
          </cell>
          <cell r="D24">
            <v>245.12</v>
          </cell>
        </row>
        <row r="25">
          <cell r="A25" t="str">
            <v>08:Q1</v>
          </cell>
          <cell r="B25">
            <v>215.05</v>
          </cell>
          <cell r="C25">
            <v>220.17</v>
          </cell>
          <cell r="D25">
            <v>237.2</v>
          </cell>
        </row>
        <row r="26">
          <cell r="A26" t="str">
            <v>08:Q2</v>
          </cell>
          <cell r="B26">
            <v>210.06</v>
          </cell>
          <cell r="C26">
            <v>221.72</v>
          </cell>
          <cell r="D26">
            <v>228.68</v>
          </cell>
        </row>
        <row r="27">
          <cell r="A27" t="str">
            <v>08:Q3</v>
          </cell>
          <cell r="B27">
            <v>203.84</v>
          </cell>
          <cell r="C27">
            <v>226.25</v>
          </cell>
          <cell r="D27">
            <v>216.85</v>
          </cell>
        </row>
        <row r="28">
          <cell r="A28" t="str">
            <v>08:Q4</v>
          </cell>
          <cell r="B28">
            <v>186.14</v>
          </cell>
          <cell r="C28">
            <v>295.44</v>
          </cell>
          <cell r="D28">
            <v>205.89</v>
          </cell>
        </row>
        <row r="29">
          <cell r="A29" t="str">
            <v>09:Q1</v>
          </cell>
          <cell r="B29">
            <v>172.47</v>
          </cell>
          <cell r="C29">
            <v>318.49</v>
          </cell>
          <cell r="D29">
            <v>193.54</v>
          </cell>
        </row>
        <row r="30">
          <cell r="A30" t="str">
            <v>09:Q2</v>
          </cell>
          <cell r="B30">
            <v>167.93</v>
          </cell>
          <cell r="C30">
            <v>333.29</v>
          </cell>
          <cell r="D30">
            <v>181.09</v>
          </cell>
        </row>
        <row r="31">
          <cell r="A31" t="str">
            <v>09:Q3</v>
          </cell>
          <cell r="B31">
            <v>162.88999999999999</v>
          </cell>
          <cell r="C31">
            <v>375.52</v>
          </cell>
          <cell r="D31">
            <v>168.38</v>
          </cell>
        </row>
        <row r="32">
          <cell r="A32" t="str">
            <v>09:Q4</v>
          </cell>
          <cell r="B32">
            <v>156.19</v>
          </cell>
          <cell r="C32">
            <v>318.73</v>
          </cell>
          <cell r="D32">
            <v>165.86</v>
          </cell>
        </row>
        <row r="33">
          <cell r="A33" t="str">
            <v>10:Q1</v>
          </cell>
          <cell r="B33">
            <v>148.1</v>
          </cell>
          <cell r="C33">
            <v>294.73</v>
          </cell>
          <cell r="D33">
            <v>161.24</v>
          </cell>
        </row>
        <row r="34">
          <cell r="A34" t="str">
            <v>10:Q2</v>
          </cell>
          <cell r="B34">
            <v>149.66</v>
          </cell>
          <cell r="C34">
            <v>272.02999999999997</v>
          </cell>
          <cell r="D34">
            <v>160.59</v>
          </cell>
        </row>
        <row r="35">
          <cell r="A35" t="str">
            <v>10:Q3</v>
          </cell>
          <cell r="B35">
            <v>160.75</v>
          </cell>
          <cell r="C35">
            <v>216.94</v>
          </cell>
          <cell r="D35">
            <v>157.94</v>
          </cell>
        </row>
        <row r="36">
          <cell r="A36" t="str">
            <v>10:Q4</v>
          </cell>
          <cell r="B36">
            <v>163.38</v>
          </cell>
          <cell r="C36">
            <v>211.48</v>
          </cell>
          <cell r="D36">
            <v>164.3</v>
          </cell>
        </row>
        <row r="37">
          <cell r="A37" t="str">
            <v>11:Q1</v>
          </cell>
          <cell r="B37">
            <v>157.58000000000001</v>
          </cell>
          <cell r="C37">
            <v>194.63</v>
          </cell>
          <cell r="D37">
            <v>165.91</v>
          </cell>
        </row>
        <row r="38">
          <cell r="A38" t="str">
            <v>11:Q2</v>
          </cell>
          <cell r="B38">
            <v>159.185</v>
          </cell>
          <cell r="C38">
            <v>199.29499999999999</v>
          </cell>
          <cell r="D38">
            <v>168.298</v>
          </cell>
        </row>
        <row r="39">
          <cell r="A39" t="str">
            <v>11:Q3</v>
          </cell>
          <cell r="B39">
            <v>167.351</v>
          </cell>
          <cell r="C39">
            <v>183.57300000000001</v>
          </cell>
          <cell r="D39">
            <v>167.94499999999999</v>
          </cell>
        </row>
        <row r="40">
          <cell r="A40" t="str">
            <v>11:Q4</v>
          </cell>
          <cell r="B40">
            <v>171.90899999999999</v>
          </cell>
          <cell r="C40">
            <v>165.55099999999999</v>
          </cell>
          <cell r="D40">
            <v>173.64099999999999</v>
          </cell>
        </row>
        <row r="41">
          <cell r="A41" t="str">
            <v>12:Q1</v>
          </cell>
          <cell r="B41">
            <v>171.07300000000001</v>
          </cell>
          <cell r="C41">
            <v>184.77600000000001</v>
          </cell>
          <cell r="D41">
            <v>173.03200000000001</v>
          </cell>
        </row>
        <row r="42">
          <cell r="A42" t="str">
            <v>12:Q2</v>
          </cell>
          <cell r="B42">
            <v>167.559</v>
          </cell>
          <cell r="C42">
            <v>174.827</v>
          </cell>
          <cell r="D42">
            <v>176.67599999999999</v>
          </cell>
        </row>
        <row r="43">
          <cell r="A43" t="str">
            <v>12:Q3</v>
          </cell>
          <cell r="B43">
            <v>166.87799999999999</v>
          </cell>
          <cell r="C43">
            <v>185.02799999999999</v>
          </cell>
          <cell r="D43">
            <v>177.37899999999999</v>
          </cell>
        </row>
        <row r="44">
          <cell r="A44" t="str">
            <v>12:Q4</v>
          </cell>
          <cell r="B44">
            <v>164.27199999999999</v>
          </cell>
          <cell r="C44">
            <v>205.267</v>
          </cell>
          <cell r="D44">
            <v>182.07300000000001</v>
          </cell>
        </row>
        <row r="45">
          <cell r="A45" t="str">
            <v>13:Q1</v>
          </cell>
          <cell r="B45">
            <v>157.697</v>
          </cell>
          <cell r="C45">
            <v>189.31700000000001</v>
          </cell>
          <cell r="D45">
            <v>184.77799999999999</v>
          </cell>
        </row>
        <row r="46">
          <cell r="A46" t="str">
            <v>13:Q2</v>
          </cell>
          <cell r="B46">
            <v>159.19900000000001</v>
          </cell>
          <cell r="C46">
            <v>198.315</v>
          </cell>
          <cell r="D46">
            <v>186.80699999999999</v>
          </cell>
        </row>
        <row r="47">
          <cell r="A47" t="str">
            <v>13:Q3</v>
          </cell>
          <cell r="B47">
            <v>168.477</v>
          </cell>
          <cell r="C47">
            <v>202.84</v>
          </cell>
          <cell r="D47">
            <v>190.85900000000001</v>
          </cell>
        </row>
        <row r="48">
          <cell r="A48" t="str">
            <v>13:Q4</v>
          </cell>
          <cell r="B48">
            <v>169.15199999999999</v>
          </cell>
          <cell r="C48">
            <v>179.727</v>
          </cell>
          <cell r="D48">
            <v>196.292</v>
          </cell>
        </row>
        <row r="49">
          <cell r="A49" t="str">
            <v>14:Q1</v>
          </cell>
          <cell r="B49">
            <v>160.786</v>
          </cell>
          <cell r="C49">
            <v>169.691</v>
          </cell>
          <cell r="D49">
            <v>196.06700000000001</v>
          </cell>
        </row>
        <row r="50">
          <cell r="A50" t="str">
            <v>14:Q2</v>
          </cell>
          <cell r="B50">
            <v>162.44999999999999</v>
          </cell>
          <cell r="C50">
            <v>159.23699999999999</v>
          </cell>
          <cell r="D50">
            <v>196.083</v>
          </cell>
        </row>
        <row r="51">
          <cell r="A51" t="str">
            <v>14:Q3</v>
          </cell>
          <cell r="B51">
            <v>170.87299999999999</v>
          </cell>
          <cell r="C51">
            <v>148.864</v>
          </cell>
          <cell r="D51">
            <v>194.76499999999999</v>
          </cell>
        </row>
        <row r="52">
          <cell r="A52" t="str">
            <v>14:Q4</v>
          </cell>
          <cell r="B52">
            <v>174.91</v>
          </cell>
          <cell r="C52">
            <v>179.79599999999999</v>
          </cell>
          <cell r="D52">
            <v>204.35900000000001</v>
          </cell>
        </row>
        <row r="53">
          <cell r="A53" t="str">
            <v>15:Q1</v>
          </cell>
          <cell r="B53">
            <v>170.25700000000001</v>
          </cell>
          <cell r="C53">
            <v>185.18</v>
          </cell>
          <cell r="D53">
            <v>202.399</v>
          </cell>
        </row>
        <row r="54">
          <cell r="A54" t="str">
            <v>15:Q2</v>
          </cell>
          <cell r="B54">
            <v>173.37799999999999</v>
          </cell>
          <cell r="C54">
            <v>187.89400000000001</v>
          </cell>
          <cell r="D54">
            <v>208.21700000000001</v>
          </cell>
        </row>
        <row r="55">
          <cell r="A55" t="str">
            <v>15:Q3</v>
          </cell>
          <cell r="B55">
            <v>182.02</v>
          </cell>
          <cell r="C55">
            <v>191.964</v>
          </cell>
          <cell r="D55">
            <v>208.58699999999999</v>
          </cell>
        </row>
        <row r="56">
          <cell r="A56" t="str">
            <v>15:Q4</v>
          </cell>
          <cell r="B56">
            <v>175.28800000000001</v>
          </cell>
          <cell r="C56">
            <v>193.495</v>
          </cell>
          <cell r="D56">
            <v>213.90100000000001</v>
          </cell>
        </row>
        <row r="57">
          <cell r="A57" t="str">
            <v>16:Q1</v>
          </cell>
          <cell r="B57">
            <v>166.84200000000001</v>
          </cell>
          <cell r="C57">
            <v>189.417</v>
          </cell>
          <cell r="D57">
            <v>216.267</v>
          </cell>
        </row>
        <row r="58">
          <cell r="A58" t="str">
            <v>16:Q2</v>
          </cell>
          <cell r="B58">
            <v>169.03</v>
          </cell>
          <cell r="C58">
            <v>194.834</v>
          </cell>
          <cell r="D58">
            <v>218.143</v>
          </cell>
        </row>
        <row r="59">
          <cell r="A59" t="str">
            <v>16:Q3</v>
          </cell>
          <cell r="B59">
            <v>175.274</v>
          </cell>
          <cell r="C59">
            <v>188.50700000000001</v>
          </cell>
          <cell r="D59">
            <v>217.00700000000001</v>
          </cell>
        </row>
        <row r="60">
          <cell r="A60" t="str">
            <v>16:Q4</v>
          </cell>
          <cell r="B60">
            <v>171.09700000000001</v>
          </cell>
          <cell r="C60">
            <v>192.49299999999999</v>
          </cell>
          <cell r="D60">
            <v>218.51400000000001</v>
          </cell>
        </row>
        <row r="61">
          <cell r="A61" t="str">
            <v>17:Q1</v>
          </cell>
          <cell r="B61">
            <v>161.50700000000001</v>
          </cell>
          <cell r="C61">
            <v>198.21600000000001</v>
          </cell>
          <cell r="D61">
            <v>217.78800000000001</v>
          </cell>
        </row>
        <row r="62">
          <cell r="A62" t="str">
            <v>17:Q2</v>
          </cell>
          <cell r="B62">
            <v>161.54900000000001</v>
          </cell>
          <cell r="C62">
            <v>193.40600000000001</v>
          </cell>
          <cell r="D62">
            <v>214.21600000000001</v>
          </cell>
        </row>
        <row r="63">
          <cell r="A63" t="str">
            <v>17:Q3</v>
          </cell>
          <cell r="B63">
            <v>163.71</v>
          </cell>
          <cell r="C63">
            <v>190.495</v>
          </cell>
          <cell r="D63">
            <v>209.09</v>
          </cell>
        </row>
        <row r="64">
          <cell r="A64" t="str">
            <v>17:Q4</v>
          </cell>
          <cell r="B64">
            <v>155.41300000000001</v>
          </cell>
          <cell r="C64">
            <v>197.13900000000001</v>
          </cell>
          <cell r="D64">
            <v>208.285</v>
          </cell>
        </row>
        <row r="65">
          <cell r="A65" t="str">
            <v>18:Q1</v>
          </cell>
          <cell r="B65">
            <v>146.62799999999999</v>
          </cell>
          <cell r="C65">
            <v>198.44200000000001</v>
          </cell>
          <cell r="D65">
            <v>208.74799999999999</v>
          </cell>
        </row>
        <row r="66">
          <cell r="A66" t="str">
            <v>18:Q2</v>
          </cell>
          <cell r="B66">
            <v>146.93</v>
          </cell>
          <cell r="C66">
            <v>217.672</v>
          </cell>
          <cell r="D66">
            <v>207.28</v>
          </cell>
        </row>
        <row r="67">
          <cell r="A67" t="str">
            <v>18:Q3</v>
          </cell>
          <cell r="B67">
            <v>149.21600000000001</v>
          </cell>
          <cell r="C67">
            <v>217.89699999999999</v>
          </cell>
          <cell r="D67">
            <v>204.68100000000001</v>
          </cell>
        </row>
        <row r="68">
          <cell r="A68" t="str">
            <v>18:Q4</v>
          </cell>
          <cell r="B68">
            <v>144.63800000000001</v>
          </cell>
          <cell r="C68">
            <v>223.65600000000001</v>
          </cell>
          <cell r="D68">
            <v>205.94</v>
          </cell>
        </row>
        <row r="69">
          <cell r="A69" t="str">
            <v>19:Q1</v>
          </cell>
          <cell r="B69">
            <v>137.01599999999999</v>
          </cell>
          <cell r="C69">
            <v>229.13300000000001</v>
          </cell>
          <cell r="D69">
            <v>206.04300000000001</v>
          </cell>
        </row>
        <row r="70">
          <cell r="A70" t="str">
            <v>19:Q2</v>
          </cell>
          <cell r="B70">
            <v>139.43899999999999</v>
          </cell>
          <cell r="C70">
            <v>216.22800000000001</v>
          </cell>
          <cell r="D70">
            <v>208.21299999999999</v>
          </cell>
        </row>
        <row r="71">
          <cell r="A71" t="str">
            <v>19:Q3</v>
          </cell>
          <cell r="B71">
            <v>141.59299999999999</v>
          </cell>
          <cell r="C71">
            <v>211.24199999999999</v>
          </cell>
          <cell r="D71">
            <v>206.238</v>
          </cell>
        </row>
        <row r="72">
          <cell r="A72" t="str">
            <v>19:Q4</v>
          </cell>
          <cell r="B72">
            <v>137.417</v>
          </cell>
          <cell r="C72">
            <v>207.39</v>
          </cell>
          <cell r="D72">
            <v>215.90799999999999</v>
          </cell>
        </row>
        <row r="73">
          <cell r="A73" t="str">
            <v>20:Q1</v>
          </cell>
          <cell r="B73">
            <v>134.66999999999999</v>
          </cell>
          <cell r="C73">
            <v>205.452</v>
          </cell>
          <cell r="D73">
            <v>217.74199999999999</v>
          </cell>
        </row>
        <row r="74">
          <cell r="A74" t="str">
            <v>20:Q2</v>
          </cell>
          <cell r="B74">
            <v>127.21299999999999</v>
          </cell>
          <cell r="C74">
            <v>210.09399999999999</v>
          </cell>
          <cell r="D74">
            <v>202.68799999999999</v>
          </cell>
        </row>
        <row r="75">
          <cell r="A75" t="str">
            <v>20:Q3</v>
          </cell>
          <cell r="B75">
            <v>122.029</v>
          </cell>
          <cell r="C75">
            <v>208.39</v>
          </cell>
          <cell r="D75">
            <v>194.946</v>
          </cell>
        </row>
        <row r="76">
          <cell r="A76" t="str">
            <v>20:Q4</v>
          </cell>
          <cell r="B76">
            <v>119.56100000000001</v>
          </cell>
          <cell r="C76">
            <v>221.13499999999999</v>
          </cell>
          <cell r="D76">
            <v>189.626</v>
          </cell>
        </row>
        <row r="77">
          <cell r="A77" t="str">
            <v>21:Q1</v>
          </cell>
          <cell r="B77">
            <v>116.307</v>
          </cell>
          <cell r="C77">
            <v>214.001</v>
          </cell>
          <cell r="D77">
            <v>187.24299999999999</v>
          </cell>
        </row>
        <row r="78">
          <cell r="A78" t="str">
            <v>21:Q2</v>
          </cell>
          <cell r="B78">
            <v>120.631</v>
          </cell>
          <cell r="C78">
            <v>202.29</v>
          </cell>
          <cell r="D78">
            <v>205.82599999999999</v>
          </cell>
        </row>
        <row r="79">
          <cell r="A79" t="str">
            <v>21:Q3</v>
          </cell>
          <cell r="B79">
            <v>122.194</v>
          </cell>
          <cell r="C79">
            <v>199.69399999999999</v>
          </cell>
          <cell r="D79">
            <v>216.648</v>
          </cell>
        </row>
        <row r="80">
          <cell r="A80" t="str">
            <v>21:Q4</v>
          </cell>
          <cell r="B80">
            <v>114.68600000000001</v>
          </cell>
          <cell r="C80">
            <v>188.19399999999999</v>
          </cell>
          <cell r="D80">
            <v>224.17500000000001</v>
          </cell>
        </row>
        <row r="81">
          <cell r="A81" t="str">
            <v>22:Q1</v>
          </cell>
          <cell r="B81">
            <v>108.877</v>
          </cell>
          <cell r="C81">
            <v>189.798</v>
          </cell>
          <cell r="D81">
            <v>229.172</v>
          </cell>
        </row>
        <row r="82">
          <cell r="A82" t="str">
            <v>22:Q2</v>
          </cell>
          <cell r="B82">
            <v>110.322</v>
          </cell>
          <cell r="C82">
            <v>191.00700000000001</v>
          </cell>
          <cell r="D82">
            <v>232.75399999999999</v>
          </cell>
        </row>
        <row r="83">
          <cell r="A83" t="str">
            <v>22:Q3</v>
          </cell>
          <cell r="B83">
            <v>108.887</v>
          </cell>
          <cell r="C83">
            <v>179.94</v>
          </cell>
          <cell r="D83">
            <v>227.041</v>
          </cell>
        </row>
        <row r="84">
          <cell r="A84" t="str">
            <v>22:Q4</v>
          </cell>
          <cell r="B84">
            <v>98.012</v>
          </cell>
          <cell r="C84">
            <v>171.15899999999999</v>
          </cell>
          <cell r="D84">
            <v>223.56899999999999</v>
          </cell>
        </row>
        <row r="85">
          <cell r="A85" t="str">
            <v>23:Q1</v>
          </cell>
          <cell r="B85">
            <v>89.927999999999997</v>
          </cell>
          <cell r="C85">
            <v>166.17400000000001</v>
          </cell>
          <cell r="D85">
            <v>220.53299999999999</v>
          </cell>
        </row>
        <row r="86">
          <cell r="A86" t="str">
            <v>23:Q2</v>
          </cell>
          <cell r="B86">
            <v>89.007000000000005</v>
          </cell>
          <cell r="C86">
            <v>165.36600000000001</v>
          </cell>
          <cell r="D86">
            <v>212.577</v>
          </cell>
        </row>
        <row r="87">
          <cell r="A87" t="str">
            <v>23:Q3</v>
          </cell>
          <cell r="B87">
            <v>87.998000000000005</v>
          </cell>
          <cell r="C87">
            <v>154.49100000000001</v>
          </cell>
          <cell r="D87">
            <v>206.53700000000001</v>
          </cell>
        </row>
        <row r="88">
          <cell r="A88" t="str">
            <v>23:Q4</v>
          </cell>
          <cell r="B88">
            <v>82.212000000000003</v>
          </cell>
          <cell r="C88">
            <v>169.19399999999999</v>
          </cell>
          <cell r="D88">
            <v>202.566</v>
          </cell>
        </row>
        <row r="89">
          <cell r="A89" t="str">
            <v>24:Q1</v>
          </cell>
          <cell r="B89">
            <v>77.281000000000006</v>
          </cell>
          <cell r="C89">
            <v>180.53299999999999</v>
          </cell>
          <cell r="D89">
            <v>202.804</v>
          </cell>
        </row>
        <row r="90">
          <cell r="A90" t="str">
            <v>24:Q2</v>
          </cell>
          <cell r="B90">
            <v>78.751999999999995</v>
          </cell>
          <cell r="C90">
            <v>190.66800000000001</v>
          </cell>
          <cell r="D90">
            <v>199.53700000000001</v>
          </cell>
        </row>
        <row r="91">
          <cell r="A91" t="str">
            <v>24:Q3</v>
          </cell>
          <cell r="B91">
            <v>79.626000000000005</v>
          </cell>
          <cell r="C91">
            <v>207.459</v>
          </cell>
          <cell r="D91">
            <v>194.66</v>
          </cell>
        </row>
        <row r="92">
          <cell r="A92" t="str">
            <v>24:Q4</v>
          </cell>
          <cell r="B92">
            <v>78.94</v>
          </cell>
          <cell r="C92">
            <v>205.70599999999999</v>
          </cell>
          <cell r="D92">
            <v>198.477</v>
          </cell>
        </row>
        <row r="93">
          <cell r="A93" t="str">
            <v>25:Q1</v>
          </cell>
          <cell r="B93">
            <v>76.468000000000004</v>
          </cell>
          <cell r="C93">
            <v>212.42599999999999</v>
          </cell>
          <cell r="D93">
            <v>197.27</v>
          </cell>
        </row>
        <row r="94">
          <cell r="A94" t="str">
            <v>25:Q2</v>
          </cell>
          <cell r="B94">
            <v>76.492999999999995</v>
          </cell>
          <cell r="C94">
            <v>206.04499999999999</v>
          </cell>
          <cell r="D94">
            <v>199.30799999999999</v>
          </cell>
        </row>
        <row r="95">
          <cell r="A95" t="str">
            <v>25:Q3</v>
          </cell>
          <cell r="B95">
            <v>82.293999999999997</v>
          </cell>
          <cell r="C95">
            <v>208.97499999999999</v>
          </cell>
          <cell r="D95">
            <v>206.185</v>
          </cell>
        </row>
        <row r="96">
          <cell r="A96" t="str">
            <v>25:Q4</v>
          </cell>
          <cell r="B96">
            <v>82.772000000000006</v>
          </cell>
          <cell r="C96">
            <v>219.703</v>
          </cell>
          <cell r="D96">
            <v>212.148</v>
          </cell>
        </row>
        <row r="97">
          <cell r="A97" t="str">
            <v>26:Q1</v>
          </cell>
          <cell r="B97">
            <v>79.814999999999998</v>
          </cell>
          <cell r="C97">
            <v>222.68199999999999</v>
          </cell>
          <cell r="D97">
            <v>217.01300000000001</v>
          </cell>
        </row>
      </sheetData>
      <sheetData sheetId="7" refreshError="1"/>
      <sheetData sheetId="8">
        <row r="4">
          <cell r="B4" t="str">
            <v>&lt;620</v>
          </cell>
          <cell r="C4" t="str">
            <v>620-659</v>
          </cell>
          <cell r="D4" t="str">
            <v>660-719</v>
          </cell>
          <cell r="E4" t="str">
            <v>720-759</v>
          </cell>
          <cell r="F4" t="str">
            <v>760+</v>
          </cell>
        </row>
        <row r="5">
          <cell r="B5">
            <v>72.19</v>
          </cell>
          <cell r="C5">
            <v>68.12</v>
          </cell>
          <cell r="D5">
            <v>188.33</v>
          </cell>
          <cell r="E5">
            <v>336.1</v>
          </cell>
          <cell r="F5">
            <v>304.24</v>
          </cell>
        </row>
        <row r="6">
          <cell r="B6">
            <v>71.41</v>
          </cell>
          <cell r="C6">
            <v>70.53</v>
          </cell>
          <cell r="D6">
            <v>203.73</v>
          </cell>
          <cell r="E6">
            <v>352.85</v>
          </cell>
          <cell r="F6">
            <v>316.02999999999997</v>
          </cell>
        </row>
        <row r="7">
          <cell r="B7">
            <v>78.150000000000006</v>
          </cell>
          <cell r="C7">
            <v>81.23</v>
          </cell>
          <cell r="D7">
            <v>215.7</v>
          </cell>
          <cell r="E7">
            <v>363.92</v>
          </cell>
          <cell r="F7">
            <v>324.70999999999998</v>
          </cell>
        </row>
        <row r="8">
          <cell r="B8">
            <v>90.06</v>
          </cell>
          <cell r="C8">
            <v>86.37</v>
          </cell>
          <cell r="D8">
            <v>212.36</v>
          </cell>
          <cell r="E8">
            <v>349.56</v>
          </cell>
          <cell r="F8">
            <v>289.7</v>
          </cell>
        </row>
        <row r="9">
          <cell r="B9">
            <v>79.290000000000006</v>
          </cell>
          <cell r="C9">
            <v>63.47</v>
          </cell>
          <cell r="D9">
            <v>150</v>
          </cell>
          <cell r="E9">
            <v>213.45</v>
          </cell>
          <cell r="F9">
            <v>150.59</v>
          </cell>
        </row>
        <row r="10">
          <cell r="B10">
            <v>87.96</v>
          </cell>
          <cell r="C10">
            <v>69.760000000000005</v>
          </cell>
          <cell r="D10">
            <v>169.62</v>
          </cell>
          <cell r="E10">
            <v>216.33</v>
          </cell>
          <cell r="F10">
            <v>167.23</v>
          </cell>
        </row>
        <row r="11">
          <cell r="B11">
            <v>96.66</v>
          </cell>
          <cell r="C11">
            <v>75.56</v>
          </cell>
          <cell r="D11">
            <v>175.58</v>
          </cell>
          <cell r="E11">
            <v>246.98</v>
          </cell>
          <cell r="F11">
            <v>192.05</v>
          </cell>
        </row>
        <row r="12">
          <cell r="B12">
            <v>88.88</v>
          </cell>
          <cell r="C12">
            <v>67.39</v>
          </cell>
          <cell r="D12">
            <v>158.88999999999999</v>
          </cell>
          <cell r="E12">
            <v>209.93</v>
          </cell>
          <cell r="F12">
            <v>146.26</v>
          </cell>
        </row>
        <row r="13">
          <cell r="B13">
            <v>84.55</v>
          </cell>
          <cell r="C13">
            <v>55.66</v>
          </cell>
          <cell r="D13">
            <v>150.97999999999999</v>
          </cell>
          <cell r="E13">
            <v>199.03</v>
          </cell>
          <cell r="F13">
            <v>168.98</v>
          </cell>
        </row>
        <row r="14">
          <cell r="B14">
            <v>87.04</v>
          </cell>
          <cell r="C14">
            <v>65.680000000000007</v>
          </cell>
          <cell r="D14">
            <v>140.88</v>
          </cell>
          <cell r="E14">
            <v>184.27</v>
          </cell>
          <cell r="F14">
            <v>154.66</v>
          </cell>
        </row>
        <row r="15">
          <cell r="B15">
            <v>83.95</v>
          </cell>
          <cell r="C15">
            <v>73.64</v>
          </cell>
          <cell r="D15">
            <v>184.63</v>
          </cell>
          <cell r="E15">
            <v>228.94</v>
          </cell>
          <cell r="F15">
            <v>190.71</v>
          </cell>
        </row>
        <row r="16">
          <cell r="B16">
            <v>87.04</v>
          </cell>
          <cell r="C16">
            <v>77.7</v>
          </cell>
          <cell r="D16">
            <v>184.83</v>
          </cell>
          <cell r="E16">
            <v>238.86</v>
          </cell>
          <cell r="F16">
            <v>211.56</v>
          </cell>
        </row>
        <row r="17">
          <cell r="B17">
            <v>87.61</v>
          </cell>
          <cell r="C17">
            <v>66</v>
          </cell>
          <cell r="D17">
            <v>145.72</v>
          </cell>
          <cell r="E17">
            <v>213.19</v>
          </cell>
          <cell r="F17">
            <v>162.82</v>
          </cell>
        </row>
        <row r="18">
          <cell r="B18">
            <v>100.21</v>
          </cell>
          <cell r="C18">
            <v>73.55</v>
          </cell>
          <cell r="D18">
            <v>172.34</v>
          </cell>
          <cell r="E18">
            <v>220.4</v>
          </cell>
          <cell r="F18">
            <v>162.52000000000001</v>
          </cell>
        </row>
        <row r="19">
          <cell r="B19">
            <v>95.41</v>
          </cell>
          <cell r="C19">
            <v>78.59</v>
          </cell>
          <cell r="D19">
            <v>165.51</v>
          </cell>
          <cell r="E19">
            <v>203.81</v>
          </cell>
          <cell r="F19">
            <v>176.54</v>
          </cell>
        </row>
        <row r="20">
          <cell r="B20">
            <v>92.82</v>
          </cell>
          <cell r="C20">
            <v>70.42</v>
          </cell>
          <cell r="D20">
            <v>137.69999999999999</v>
          </cell>
          <cell r="E20">
            <v>191.52</v>
          </cell>
          <cell r="F20">
            <v>149.43</v>
          </cell>
        </row>
        <row r="21">
          <cell r="B21">
            <v>114.58</v>
          </cell>
          <cell r="C21">
            <v>77.91</v>
          </cell>
          <cell r="D21">
            <v>169.93</v>
          </cell>
          <cell r="E21">
            <v>209.97</v>
          </cell>
          <cell r="F21">
            <v>179.3</v>
          </cell>
        </row>
        <row r="22">
          <cell r="B22">
            <v>83.17</v>
          </cell>
          <cell r="C22">
            <v>64.61</v>
          </cell>
          <cell r="D22">
            <v>130.47</v>
          </cell>
          <cell r="E22">
            <v>192.46</v>
          </cell>
          <cell r="F22">
            <v>177.39</v>
          </cell>
        </row>
        <row r="23">
          <cell r="B23">
            <v>81.25</v>
          </cell>
          <cell r="C23">
            <v>63.57</v>
          </cell>
          <cell r="D23">
            <v>146.41</v>
          </cell>
          <cell r="E23">
            <v>212.07</v>
          </cell>
          <cell r="F23">
            <v>198.64</v>
          </cell>
        </row>
        <row r="24">
          <cell r="B24">
            <v>53.46</v>
          </cell>
          <cell r="C24">
            <v>44.72</v>
          </cell>
          <cell r="D24">
            <v>105.11</v>
          </cell>
          <cell r="E24">
            <v>148.91</v>
          </cell>
          <cell r="F24">
            <v>162.35</v>
          </cell>
        </row>
        <row r="25">
          <cell r="B25">
            <v>45.92</v>
          </cell>
          <cell r="C25">
            <v>39.67</v>
          </cell>
          <cell r="D25">
            <v>88.48</v>
          </cell>
          <cell r="E25">
            <v>139.96</v>
          </cell>
          <cell r="F25">
            <v>139.13</v>
          </cell>
        </row>
        <row r="26">
          <cell r="B26">
            <v>45.04</v>
          </cell>
          <cell r="C26">
            <v>42.48</v>
          </cell>
          <cell r="D26">
            <v>98.24</v>
          </cell>
          <cell r="E26">
            <v>157.13999999999999</v>
          </cell>
          <cell r="F26">
            <v>214.97</v>
          </cell>
        </row>
        <row r="27">
          <cell r="B27">
            <v>34.78</v>
          </cell>
          <cell r="C27">
            <v>28.42</v>
          </cell>
          <cell r="D27">
            <v>70.55</v>
          </cell>
          <cell r="E27">
            <v>118.8</v>
          </cell>
          <cell r="F27">
            <v>141.22999999999999</v>
          </cell>
        </row>
        <row r="28">
          <cell r="B28">
            <v>29.66</v>
          </cell>
          <cell r="C28">
            <v>24.8</v>
          </cell>
          <cell r="D28">
            <v>52.44</v>
          </cell>
          <cell r="E28">
            <v>82.77</v>
          </cell>
          <cell r="F28">
            <v>112.29</v>
          </cell>
        </row>
        <row r="29">
          <cell r="B29">
            <v>31.26</v>
          </cell>
          <cell r="C29">
            <v>22.74</v>
          </cell>
          <cell r="D29">
            <v>60.86</v>
          </cell>
          <cell r="E29">
            <v>109.99</v>
          </cell>
          <cell r="F29">
            <v>172.75</v>
          </cell>
        </row>
        <row r="30">
          <cell r="B30">
            <v>25.83</v>
          </cell>
          <cell r="C30">
            <v>21.86</v>
          </cell>
          <cell r="D30">
            <v>64.459999999999994</v>
          </cell>
          <cell r="E30">
            <v>140.16999999999999</v>
          </cell>
          <cell r="F30">
            <v>263.91000000000003</v>
          </cell>
        </row>
        <row r="31">
          <cell r="B31">
            <v>24.25</v>
          </cell>
          <cell r="C31">
            <v>22.06</v>
          </cell>
          <cell r="D31">
            <v>70.25</v>
          </cell>
          <cell r="E31">
            <v>137.88999999999999</v>
          </cell>
          <cell r="F31">
            <v>256.87</v>
          </cell>
        </row>
        <row r="32">
          <cell r="B32">
            <v>22.01</v>
          </cell>
          <cell r="C32">
            <v>22</v>
          </cell>
          <cell r="D32">
            <v>57.67</v>
          </cell>
          <cell r="E32">
            <v>113.64</v>
          </cell>
          <cell r="F32">
            <v>177.34</v>
          </cell>
        </row>
        <row r="33">
          <cell r="B33">
            <v>24.06</v>
          </cell>
          <cell r="C33">
            <v>19.350000000000001</v>
          </cell>
          <cell r="D33">
            <v>53.11</v>
          </cell>
          <cell r="E33">
            <v>100.67</v>
          </cell>
          <cell r="F33">
            <v>182.3</v>
          </cell>
        </row>
        <row r="34">
          <cell r="B34">
            <v>16.53</v>
          </cell>
          <cell r="C34">
            <v>20.09</v>
          </cell>
          <cell r="D34">
            <v>52.43</v>
          </cell>
          <cell r="E34">
            <v>100.62</v>
          </cell>
          <cell r="F34">
            <v>176.13</v>
          </cell>
        </row>
        <row r="35">
          <cell r="B35">
            <v>17.62</v>
          </cell>
          <cell r="C35">
            <v>16.61</v>
          </cell>
          <cell r="D35">
            <v>60</v>
          </cell>
          <cell r="E35">
            <v>115.65</v>
          </cell>
          <cell r="F35">
            <v>179.18</v>
          </cell>
        </row>
        <row r="36">
          <cell r="B36">
            <v>18.87</v>
          </cell>
          <cell r="C36">
            <v>18.34</v>
          </cell>
          <cell r="D36">
            <v>47.6</v>
          </cell>
          <cell r="E36">
            <v>122.86</v>
          </cell>
          <cell r="F36">
            <v>255.34</v>
          </cell>
        </row>
        <row r="37">
          <cell r="B37">
            <v>13.01</v>
          </cell>
          <cell r="C37">
            <v>15.93</v>
          </cell>
          <cell r="D37">
            <v>47.96</v>
          </cell>
          <cell r="E37">
            <v>134.53</v>
          </cell>
          <cell r="F37">
            <v>285.79000000000002</v>
          </cell>
        </row>
        <row r="38">
          <cell r="B38">
            <v>11.62</v>
          </cell>
          <cell r="C38">
            <v>15.33</v>
          </cell>
          <cell r="D38">
            <v>41.58</v>
          </cell>
          <cell r="E38">
            <v>97.42</v>
          </cell>
          <cell r="F38">
            <v>185.94</v>
          </cell>
        </row>
        <row r="39">
          <cell r="B39">
            <v>12.89</v>
          </cell>
          <cell r="C39">
            <v>15.81</v>
          </cell>
          <cell r="D39">
            <v>41.03</v>
          </cell>
          <cell r="E39">
            <v>93.55</v>
          </cell>
          <cell r="F39">
            <v>128.99</v>
          </cell>
        </row>
        <row r="40">
          <cell r="B40">
            <v>15.7</v>
          </cell>
          <cell r="C40">
            <v>14.64</v>
          </cell>
          <cell r="D40">
            <v>48.37</v>
          </cell>
          <cell r="E40">
            <v>106.39</v>
          </cell>
          <cell r="F40">
            <v>219.03</v>
          </cell>
        </row>
        <row r="41">
          <cell r="B41">
            <v>13.03</v>
          </cell>
          <cell r="C41">
            <v>17.11</v>
          </cell>
          <cell r="D41">
            <v>45.91</v>
          </cell>
          <cell r="E41">
            <v>100.25</v>
          </cell>
          <cell r="F41">
            <v>235.5</v>
          </cell>
        </row>
        <row r="42">
          <cell r="B42">
            <v>10.82</v>
          </cell>
          <cell r="C42">
            <v>16.93</v>
          </cell>
          <cell r="D42">
            <v>53.17</v>
          </cell>
          <cell r="E42">
            <v>128.97999999999999</v>
          </cell>
          <cell r="F42">
            <v>251.92</v>
          </cell>
        </row>
        <row r="43">
          <cell r="B43">
            <v>15.44</v>
          </cell>
          <cell r="C43">
            <v>21.52</v>
          </cell>
          <cell r="D43">
            <v>60.07</v>
          </cell>
          <cell r="E43">
            <v>145.03</v>
          </cell>
          <cell r="F43">
            <v>278.52</v>
          </cell>
        </row>
        <row r="44">
          <cell r="B44">
            <v>16.43</v>
          </cell>
          <cell r="C44">
            <v>23.26</v>
          </cell>
          <cell r="D44">
            <v>71.72</v>
          </cell>
          <cell r="E44">
            <v>155.58000000000001</v>
          </cell>
          <cell r="F44">
            <v>285.77</v>
          </cell>
        </row>
        <row r="45">
          <cell r="B45">
            <v>16</v>
          </cell>
          <cell r="C45">
            <v>19.45</v>
          </cell>
          <cell r="D45">
            <v>68.38</v>
          </cell>
          <cell r="E45">
            <v>140.57</v>
          </cell>
          <cell r="F45">
            <v>332.36</v>
          </cell>
        </row>
        <row r="46">
          <cell r="B46">
            <v>18.420000000000002</v>
          </cell>
          <cell r="C46">
            <v>20.93</v>
          </cell>
          <cell r="D46">
            <v>77.09</v>
          </cell>
          <cell r="E46">
            <v>158.75</v>
          </cell>
          <cell r="F46">
            <v>303.75</v>
          </cell>
        </row>
        <row r="47">
          <cell r="B47">
            <v>16.8</v>
          </cell>
          <cell r="C47">
            <v>24.73</v>
          </cell>
          <cell r="D47">
            <v>78.650000000000006</v>
          </cell>
          <cell r="E47">
            <v>149.93</v>
          </cell>
          <cell r="F47">
            <v>278.64</v>
          </cell>
        </row>
        <row r="48">
          <cell r="B48">
            <v>16.22</v>
          </cell>
          <cell r="C48">
            <v>18.850000000000001</v>
          </cell>
          <cell r="D48">
            <v>65.7</v>
          </cell>
          <cell r="E48">
            <v>134.57</v>
          </cell>
          <cell r="F48">
            <v>216.01</v>
          </cell>
        </row>
        <row r="49">
          <cell r="B49">
            <v>16.190000000000001</v>
          </cell>
          <cell r="C49">
            <v>21.03</v>
          </cell>
          <cell r="D49">
            <v>50.64</v>
          </cell>
          <cell r="E49">
            <v>92.05</v>
          </cell>
          <cell r="F49">
            <v>151.94</v>
          </cell>
        </row>
        <row r="50">
          <cell r="B50">
            <v>11.77</v>
          </cell>
          <cell r="C50">
            <v>15.49</v>
          </cell>
          <cell r="D50">
            <v>49.34</v>
          </cell>
          <cell r="E50">
            <v>77.02</v>
          </cell>
          <cell r="F50">
            <v>132.1</v>
          </cell>
        </row>
        <row r="51">
          <cell r="B51">
            <v>16.350000000000001</v>
          </cell>
          <cell r="C51">
            <v>15.24</v>
          </cell>
          <cell r="D51">
            <v>61.08</v>
          </cell>
          <cell r="E51">
            <v>100.72</v>
          </cell>
          <cell r="F51">
            <v>143.58000000000001</v>
          </cell>
        </row>
        <row r="52">
          <cell r="B52">
            <v>14.92</v>
          </cell>
          <cell r="C52">
            <v>22.03</v>
          </cell>
          <cell r="D52">
            <v>62.41</v>
          </cell>
          <cell r="E52">
            <v>100.64</v>
          </cell>
          <cell r="F52">
            <v>154.22</v>
          </cell>
        </row>
        <row r="53">
          <cell r="B53">
            <v>14.97</v>
          </cell>
          <cell r="C53">
            <v>13.93</v>
          </cell>
          <cell r="D53">
            <v>60.19</v>
          </cell>
          <cell r="E53">
            <v>97.45</v>
          </cell>
          <cell r="F53">
            <v>181.95</v>
          </cell>
        </row>
        <row r="54">
          <cell r="B54">
            <v>16.2</v>
          </cell>
          <cell r="C54">
            <v>21.7</v>
          </cell>
          <cell r="D54">
            <v>73.47</v>
          </cell>
          <cell r="E54">
            <v>122.05</v>
          </cell>
          <cell r="F54">
            <v>232.26</v>
          </cell>
        </row>
        <row r="55">
          <cell r="B55">
            <v>15.88</v>
          </cell>
          <cell r="C55">
            <v>23.64</v>
          </cell>
          <cell r="D55">
            <v>73.349999999999994</v>
          </cell>
          <cell r="E55">
            <v>88.52</v>
          </cell>
          <cell r="F55">
            <v>287.7</v>
          </cell>
        </row>
        <row r="56">
          <cell r="B56">
            <v>21.4</v>
          </cell>
          <cell r="C56">
            <v>24</v>
          </cell>
          <cell r="D56">
            <v>77.400000000000006</v>
          </cell>
          <cell r="E56">
            <v>70.8</v>
          </cell>
          <cell r="F56">
            <v>243.3</v>
          </cell>
        </row>
        <row r="57">
          <cell r="B57">
            <v>15.4</v>
          </cell>
          <cell r="C57">
            <v>17.899999999999999</v>
          </cell>
          <cell r="D57">
            <v>64.400000000000006</v>
          </cell>
          <cell r="E57">
            <v>65.2</v>
          </cell>
          <cell r="F57">
            <v>225.7</v>
          </cell>
        </row>
        <row r="58">
          <cell r="B58">
            <v>14.55</v>
          </cell>
          <cell r="C58">
            <v>24.66</v>
          </cell>
          <cell r="D58">
            <v>71.09</v>
          </cell>
          <cell r="E58">
            <v>76.17</v>
          </cell>
          <cell r="F58">
            <v>240.1</v>
          </cell>
        </row>
        <row r="59">
          <cell r="B59">
            <v>15.76</v>
          </cell>
          <cell r="C59">
            <v>23.48</v>
          </cell>
          <cell r="D59">
            <v>78.569999999999993</v>
          </cell>
          <cell r="E59">
            <v>76.349999999999994</v>
          </cell>
          <cell r="F59">
            <v>282.89999999999998</v>
          </cell>
        </row>
        <row r="60">
          <cell r="B60">
            <v>22.82</v>
          </cell>
          <cell r="C60">
            <v>27.97</v>
          </cell>
          <cell r="D60">
            <v>100.6</v>
          </cell>
          <cell r="E60">
            <v>105.2</v>
          </cell>
          <cell r="F60">
            <v>360.2</v>
          </cell>
        </row>
        <row r="61">
          <cell r="B61">
            <v>17.72</v>
          </cell>
          <cell r="C61">
            <v>22.75</v>
          </cell>
          <cell r="D61">
            <v>74.150000000000006</v>
          </cell>
          <cell r="E61">
            <v>77.650000000000006</v>
          </cell>
          <cell r="F61">
            <v>299.10000000000002</v>
          </cell>
        </row>
        <row r="62">
          <cell r="B62">
            <v>15.22</v>
          </cell>
          <cell r="C62">
            <v>22.79</v>
          </cell>
          <cell r="D62">
            <v>73.02</v>
          </cell>
          <cell r="E62">
            <v>81.02</v>
          </cell>
          <cell r="F62">
            <v>229.4</v>
          </cell>
        </row>
        <row r="63">
          <cell r="B63">
            <v>18.57</v>
          </cell>
          <cell r="C63">
            <v>23.89</v>
          </cell>
          <cell r="D63">
            <v>84</v>
          </cell>
          <cell r="E63">
            <v>78.89</v>
          </cell>
          <cell r="F63">
            <v>274</v>
          </cell>
        </row>
        <row r="64">
          <cell r="B64">
            <v>20.37</v>
          </cell>
          <cell r="C64">
            <v>23.68</v>
          </cell>
          <cell r="D64">
            <v>74.87</v>
          </cell>
          <cell r="E64">
            <v>76.28</v>
          </cell>
          <cell r="F64">
            <v>256.3</v>
          </cell>
        </row>
        <row r="65">
          <cell r="B65">
            <v>14.94</v>
          </cell>
          <cell r="C65">
            <v>20.95</v>
          </cell>
          <cell r="D65">
            <v>66.88</v>
          </cell>
          <cell r="E65">
            <v>76.42</v>
          </cell>
          <cell r="F65">
            <v>248.7</v>
          </cell>
        </row>
        <row r="66">
          <cell r="B66">
            <v>16.05</v>
          </cell>
          <cell r="C66">
            <v>21.07</v>
          </cell>
          <cell r="D66">
            <v>71.7</v>
          </cell>
          <cell r="E66">
            <v>73.94</v>
          </cell>
          <cell r="F66">
            <v>254.7</v>
          </cell>
        </row>
        <row r="67">
          <cell r="B67">
            <v>14.52</v>
          </cell>
          <cell r="C67">
            <v>23.82</v>
          </cell>
          <cell r="D67">
            <v>73.77</v>
          </cell>
          <cell r="E67">
            <v>79.55</v>
          </cell>
          <cell r="F67">
            <v>253.6</v>
          </cell>
        </row>
        <row r="68">
          <cell r="B68">
            <v>15.2</v>
          </cell>
          <cell r="C68">
            <v>23.88</v>
          </cell>
          <cell r="D68">
            <v>68.17</v>
          </cell>
          <cell r="E68">
            <v>61.93</v>
          </cell>
          <cell r="F68">
            <v>232.3</v>
          </cell>
        </row>
        <row r="69">
          <cell r="B69">
            <v>14.3</v>
          </cell>
          <cell r="C69">
            <v>19.239999999999998</v>
          </cell>
          <cell r="D69">
            <v>55.57</v>
          </cell>
          <cell r="E69">
            <v>61.21</v>
          </cell>
          <cell r="F69">
            <v>193.7</v>
          </cell>
        </row>
        <row r="70">
          <cell r="B70">
            <v>18.41</v>
          </cell>
          <cell r="C70">
            <v>26.94</v>
          </cell>
          <cell r="D70">
            <v>70.709999999999994</v>
          </cell>
          <cell r="E70">
            <v>78.19</v>
          </cell>
          <cell r="F70">
            <v>279.8</v>
          </cell>
        </row>
        <row r="71">
          <cell r="B71">
            <v>18.29</v>
          </cell>
          <cell r="C71">
            <v>23.57</v>
          </cell>
          <cell r="D71">
            <v>78.2</v>
          </cell>
          <cell r="E71">
            <v>86.29</v>
          </cell>
          <cell r="F71">
            <v>321.89999999999998</v>
          </cell>
        </row>
        <row r="72">
          <cell r="B72">
            <v>26.88</v>
          </cell>
          <cell r="C72">
            <v>28.51</v>
          </cell>
          <cell r="D72">
            <v>98.38</v>
          </cell>
          <cell r="E72">
            <v>119.6</v>
          </cell>
          <cell r="F72">
            <v>478.6</v>
          </cell>
        </row>
        <row r="73">
          <cell r="B73">
            <v>19.260000000000002</v>
          </cell>
          <cell r="C73">
            <v>24.05</v>
          </cell>
          <cell r="D73">
            <v>83.96</v>
          </cell>
          <cell r="E73">
            <v>109.1</v>
          </cell>
          <cell r="F73">
            <v>425.3</v>
          </cell>
        </row>
        <row r="74">
          <cell r="B74">
            <v>16.670000000000002</v>
          </cell>
          <cell r="C74">
            <v>26.64</v>
          </cell>
          <cell r="D74">
            <v>94.2</v>
          </cell>
          <cell r="E74">
            <v>120.6</v>
          </cell>
          <cell r="F74">
            <v>588.29999999999995</v>
          </cell>
        </row>
        <row r="75">
          <cell r="B75">
            <v>17.29</v>
          </cell>
          <cell r="C75">
            <v>28.46</v>
          </cell>
          <cell r="D75">
            <v>106.8</v>
          </cell>
          <cell r="E75">
            <v>142.4</v>
          </cell>
          <cell r="F75">
            <v>754.3</v>
          </cell>
        </row>
        <row r="76">
          <cell r="B76">
            <v>20.68</v>
          </cell>
          <cell r="C76">
            <v>32.380000000000003</v>
          </cell>
          <cell r="D76">
            <v>124.9</v>
          </cell>
          <cell r="E76">
            <v>158.6</v>
          </cell>
          <cell r="F76">
            <v>838</v>
          </cell>
        </row>
        <row r="77">
          <cell r="B77">
            <v>15.74</v>
          </cell>
          <cell r="C77">
            <v>29.15</v>
          </cell>
          <cell r="D77">
            <v>110.7</v>
          </cell>
          <cell r="E77">
            <v>151.69999999999999</v>
          </cell>
          <cell r="F77">
            <v>831.1</v>
          </cell>
        </row>
        <row r="78">
          <cell r="B78">
            <v>19.190000000000001</v>
          </cell>
          <cell r="C78">
            <v>34.71</v>
          </cell>
          <cell r="D78">
            <v>127.8</v>
          </cell>
          <cell r="E78">
            <v>167.8</v>
          </cell>
          <cell r="F78">
            <v>868.3</v>
          </cell>
        </row>
        <row r="79">
          <cell r="B79">
            <v>23.31</v>
          </cell>
          <cell r="C79">
            <v>33.54</v>
          </cell>
          <cell r="D79">
            <v>130.4</v>
          </cell>
          <cell r="E79">
            <v>158.4</v>
          </cell>
          <cell r="F79">
            <v>769</v>
          </cell>
        </row>
        <row r="80">
          <cell r="B80">
            <v>22.11</v>
          </cell>
          <cell r="C80">
            <v>36.4</v>
          </cell>
          <cell r="D80">
            <v>132.30000000000001</v>
          </cell>
          <cell r="E80">
            <v>150.30000000000001</v>
          </cell>
          <cell r="F80">
            <v>694</v>
          </cell>
        </row>
        <row r="81">
          <cell r="B81">
            <v>19.989999999999998</v>
          </cell>
          <cell r="C81">
            <v>27.36</v>
          </cell>
          <cell r="D81">
            <v>112.3</v>
          </cell>
          <cell r="E81">
            <v>117.4</v>
          </cell>
          <cell r="F81">
            <v>581.9</v>
          </cell>
        </row>
        <row r="82">
          <cell r="B82">
            <v>21.92</v>
          </cell>
          <cell r="C82">
            <v>28.21</v>
          </cell>
          <cell r="D82">
            <v>94.69</v>
          </cell>
          <cell r="E82">
            <v>118.5</v>
          </cell>
          <cell r="F82">
            <v>494.8</v>
          </cell>
        </row>
        <row r="83">
          <cell r="B83">
            <v>19.72</v>
          </cell>
          <cell r="C83">
            <v>28.029999999999998</v>
          </cell>
          <cell r="D83">
            <v>88.25</v>
          </cell>
          <cell r="E83">
            <v>103.3</v>
          </cell>
          <cell r="F83">
            <v>393.2</v>
          </cell>
        </row>
        <row r="84">
          <cell r="B84">
            <v>14.86</v>
          </cell>
          <cell r="C84">
            <v>25.72</v>
          </cell>
          <cell r="D84">
            <v>68.55</v>
          </cell>
          <cell r="E84">
            <v>79.94</v>
          </cell>
          <cell r="F84">
            <v>308.5</v>
          </cell>
        </row>
        <row r="85">
          <cell r="B85">
            <v>11.55</v>
          </cell>
          <cell r="C85">
            <v>15.66</v>
          </cell>
          <cell r="D85">
            <v>42.63</v>
          </cell>
          <cell r="E85">
            <v>57.29</v>
          </cell>
          <cell r="F85">
            <v>196.4</v>
          </cell>
        </row>
        <row r="86">
          <cell r="B86">
            <v>13.52</v>
          </cell>
          <cell r="C86">
            <v>18.420000000000002</v>
          </cell>
          <cell r="D86">
            <v>57.83</v>
          </cell>
          <cell r="E86">
            <v>60.99</v>
          </cell>
          <cell r="F86">
            <v>242.6</v>
          </cell>
        </row>
        <row r="87">
          <cell r="B87">
            <v>14.81</v>
          </cell>
          <cell r="C87">
            <v>14.51</v>
          </cell>
          <cell r="D87">
            <v>60.7</v>
          </cell>
          <cell r="E87">
            <v>55.65</v>
          </cell>
          <cell r="F87">
            <v>240.7</v>
          </cell>
        </row>
        <row r="88">
          <cell r="B88">
            <v>14.87</v>
          </cell>
          <cell r="C88">
            <v>14.05</v>
          </cell>
          <cell r="D88">
            <v>53.19</v>
          </cell>
          <cell r="E88">
            <v>63.76</v>
          </cell>
          <cell r="F88">
            <v>247.9</v>
          </cell>
        </row>
        <row r="89">
          <cell r="B89">
            <v>12.61</v>
          </cell>
          <cell r="C89">
            <v>14.3</v>
          </cell>
          <cell r="D89">
            <v>46.26</v>
          </cell>
          <cell r="E89">
            <v>45.68</v>
          </cell>
          <cell r="F89">
            <v>283.8</v>
          </cell>
        </row>
        <row r="90">
          <cell r="B90">
            <v>14.54</v>
          </cell>
          <cell r="C90">
            <v>16.11</v>
          </cell>
          <cell r="D90">
            <v>47.75</v>
          </cell>
          <cell r="E90">
            <v>59.71</v>
          </cell>
          <cell r="F90">
            <v>236</v>
          </cell>
        </row>
        <row r="91">
          <cell r="B91">
            <v>15.48</v>
          </cell>
          <cell r="C91">
            <v>18.39</v>
          </cell>
          <cell r="D91">
            <v>51.87</v>
          </cell>
          <cell r="E91">
            <v>67.67</v>
          </cell>
          <cell r="F91">
            <v>294.89999999999998</v>
          </cell>
        </row>
        <row r="92">
          <cell r="B92">
            <v>18.36</v>
          </cell>
          <cell r="C92">
            <v>18.63</v>
          </cell>
          <cell r="D92">
            <v>57.9</v>
          </cell>
          <cell r="E92">
            <v>65.760000000000005</v>
          </cell>
          <cell r="F92">
            <v>304.7</v>
          </cell>
        </row>
        <row r="93">
          <cell r="B93">
            <v>20.05</v>
          </cell>
          <cell r="C93">
            <v>19.52</v>
          </cell>
          <cell r="D93">
            <v>50.04</v>
          </cell>
          <cell r="E93">
            <v>58.72</v>
          </cell>
          <cell r="F93">
            <v>277.3</v>
          </cell>
        </row>
        <row r="94">
          <cell r="B94">
            <v>19.77</v>
          </cell>
          <cell r="C94">
            <v>17.82</v>
          </cell>
          <cell r="D94">
            <v>53.39</v>
          </cell>
          <cell r="E94">
            <v>62.2</v>
          </cell>
          <cell r="F94">
            <v>305.10000000000002</v>
          </cell>
        </row>
        <row r="95">
          <cell r="B95">
            <v>18.190000000000001</v>
          </cell>
          <cell r="C95">
            <v>21.55</v>
          </cell>
          <cell r="D95">
            <v>58.15</v>
          </cell>
          <cell r="E95">
            <v>76.459999999999994</v>
          </cell>
          <cell r="F95">
            <v>337.8</v>
          </cell>
        </row>
        <row r="96">
          <cell r="B96">
            <v>25.68</v>
          </cell>
          <cell r="C96">
            <v>21.09</v>
          </cell>
          <cell r="D96">
            <v>64.17</v>
          </cell>
          <cell r="E96">
            <v>71.08</v>
          </cell>
          <cell r="F96">
            <v>342.4</v>
          </cell>
        </row>
        <row r="97">
          <cell r="B97">
            <v>13.5</v>
          </cell>
          <cell r="C97">
            <v>28.15</v>
          </cell>
          <cell r="D97">
            <v>85.84</v>
          </cell>
          <cell r="E97">
            <v>90.11</v>
          </cell>
          <cell r="F97">
            <v>312.2</v>
          </cell>
        </row>
      </sheetData>
      <sheetData sheetId="9" refreshError="1"/>
      <sheetData sheetId="10">
        <row r="1">
          <cell r="A1" t="str">
            <v>Distribution of Riskscore of Mortgage Originations</v>
          </cell>
        </row>
        <row r="2">
          <cell r="A2" t="str">
            <v>Return to Table of Contents</v>
          </cell>
        </row>
        <row r="3">
          <cell r="B3" t="str">
            <v>Median</v>
          </cell>
          <cell r="C3" t="str">
            <v>25th percentile</v>
          </cell>
          <cell r="D3" t="str">
            <v>10th percentile</v>
          </cell>
        </row>
        <row r="4">
          <cell r="A4" t="str">
            <v>99:Q2</v>
          </cell>
          <cell r="B4">
            <v>721</v>
          </cell>
          <cell r="C4">
            <v>658</v>
          </cell>
          <cell r="D4">
            <v>597</v>
          </cell>
        </row>
        <row r="5">
          <cell r="A5" t="str">
            <v>99:Q3</v>
          </cell>
          <cell r="B5">
            <v>723</v>
          </cell>
          <cell r="C5">
            <v>657</v>
          </cell>
          <cell r="D5">
            <v>595</v>
          </cell>
        </row>
        <row r="6">
          <cell r="A6" t="str">
            <v>99:Q4</v>
          </cell>
          <cell r="B6">
            <v>718</v>
          </cell>
          <cell r="C6">
            <v>648</v>
          </cell>
          <cell r="D6">
            <v>583</v>
          </cell>
        </row>
        <row r="7">
          <cell r="A7" t="str">
            <v>00:Q1</v>
          </cell>
          <cell r="B7">
            <v>704</v>
          </cell>
          <cell r="C7">
            <v>631</v>
          </cell>
          <cell r="D7">
            <v>567</v>
          </cell>
        </row>
        <row r="8">
          <cell r="A8" t="str">
            <v>00:Q2</v>
          </cell>
          <cell r="B8">
            <v>698</v>
          </cell>
          <cell r="C8">
            <v>629</v>
          </cell>
          <cell r="D8">
            <v>568</v>
          </cell>
        </row>
        <row r="9">
          <cell r="A9" t="str">
            <v>00:Q3</v>
          </cell>
          <cell r="B9">
            <v>703</v>
          </cell>
          <cell r="C9">
            <v>629</v>
          </cell>
          <cell r="D9">
            <v>568</v>
          </cell>
        </row>
        <row r="10">
          <cell r="A10" t="str">
            <v>00:Q4</v>
          </cell>
          <cell r="B10">
            <v>715</v>
          </cell>
          <cell r="C10">
            <v>645</v>
          </cell>
          <cell r="D10">
            <v>574</v>
          </cell>
        </row>
        <row r="11">
          <cell r="A11" t="str">
            <v>01:Q1</v>
          </cell>
          <cell r="B11">
            <v>712</v>
          </cell>
          <cell r="C11">
            <v>641</v>
          </cell>
          <cell r="D11">
            <v>569</v>
          </cell>
        </row>
        <row r="12">
          <cell r="A12" t="str">
            <v>01:Q2</v>
          </cell>
          <cell r="B12">
            <v>719</v>
          </cell>
          <cell r="C12">
            <v>651</v>
          </cell>
          <cell r="D12">
            <v>583</v>
          </cell>
        </row>
        <row r="13">
          <cell r="A13" t="str">
            <v>01:Q3</v>
          </cell>
          <cell r="B13">
            <v>725</v>
          </cell>
          <cell r="C13">
            <v>666</v>
          </cell>
          <cell r="D13">
            <v>600</v>
          </cell>
        </row>
        <row r="14">
          <cell r="A14" t="str">
            <v>01:Q4</v>
          </cell>
          <cell r="B14">
            <v>724</v>
          </cell>
          <cell r="C14">
            <v>660</v>
          </cell>
          <cell r="D14">
            <v>594</v>
          </cell>
        </row>
        <row r="15">
          <cell r="A15" t="str">
            <v>02:Q1</v>
          </cell>
          <cell r="B15">
            <v>730</v>
          </cell>
          <cell r="C15">
            <v>667</v>
          </cell>
          <cell r="D15">
            <v>601</v>
          </cell>
        </row>
        <row r="16">
          <cell r="A16" t="str">
            <v>02:Q2</v>
          </cell>
          <cell r="B16">
            <v>730</v>
          </cell>
          <cell r="C16">
            <v>666</v>
          </cell>
          <cell r="D16">
            <v>604</v>
          </cell>
        </row>
        <row r="17">
          <cell r="A17" t="str">
            <v>02:Q3</v>
          </cell>
          <cell r="B17">
            <v>728</v>
          </cell>
          <cell r="C17">
            <v>663</v>
          </cell>
          <cell r="D17">
            <v>597</v>
          </cell>
        </row>
        <row r="18">
          <cell r="A18" t="str">
            <v>02:Q4</v>
          </cell>
          <cell r="B18">
            <v>731</v>
          </cell>
          <cell r="C18">
            <v>670</v>
          </cell>
          <cell r="D18">
            <v>603</v>
          </cell>
        </row>
        <row r="19">
          <cell r="A19" t="str">
            <v>03:Q1</v>
          </cell>
          <cell r="B19">
            <v>743</v>
          </cell>
          <cell r="C19">
            <v>683</v>
          </cell>
          <cell r="D19">
            <v>621</v>
          </cell>
        </row>
        <row r="20">
          <cell r="A20" t="str">
            <v>03:Q2</v>
          </cell>
          <cell r="B20">
            <v>743</v>
          </cell>
          <cell r="C20">
            <v>685</v>
          </cell>
          <cell r="D20">
            <v>624</v>
          </cell>
        </row>
        <row r="21">
          <cell r="A21" t="str">
            <v>03:Q3</v>
          </cell>
          <cell r="B21">
            <v>743</v>
          </cell>
          <cell r="C21">
            <v>684</v>
          </cell>
          <cell r="D21">
            <v>624</v>
          </cell>
        </row>
        <row r="22">
          <cell r="A22" t="str">
            <v>03:Q4</v>
          </cell>
          <cell r="B22">
            <v>736</v>
          </cell>
          <cell r="C22">
            <v>674</v>
          </cell>
          <cell r="D22">
            <v>614</v>
          </cell>
        </row>
        <row r="23">
          <cell r="A23" t="str">
            <v>04:Q1</v>
          </cell>
          <cell r="B23">
            <v>721</v>
          </cell>
          <cell r="C23">
            <v>656</v>
          </cell>
          <cell r="D23">
            <v>593</v>
          </cell>
        </row>
        <row r="24">
          <cell r="A24" t="str">
            <v>04:Q2</v>
          </cell>
          <cell r="B24">
            <v>718</v>
          </cell>
          <cell r="C24">
            <v>654</v>
          </cell>
          <cell r="D24">
            <v>592</v>
          </cell>
        </row>
        <row r="25">
          <cell r="A25" t="str">
            <v>04:Q3</v>
          </cell>
          <cell r="B25">
            <v>718</v>
          </cell>
          <cell r="C25">
            <v>652</v>
          </cell>
          <cell r="D25">
            <v>589</v>
          </cell>
        </row>
        <row r="26">
          <cell r="A26" t="str">
            <v>04:Q4</v>
          </cell>
          <cell r="B26">
            <v>715</v>
          </cell>
          <cell r="C26">
            <v>651</v>
          </cell>
          <cell r="D26">
            <v>588</v>
          </cell>
        </row>
        <row r="27">
          <cell r="A27" t="str">
            <v>05:Q1</v>
          </cell>
          <cell r="B27">
            <v>723</v>
          </cell>
          <cell r="C27">
            <v>659</v>
          </cell>
          <cell r="D27">
            <v>590</v>
          </cell>
        </row>
        <row r="28">
          <cell r="A28" t="str">
            <v>05:Q2</v>
          </cell>
          <cell r="B28">
            <v>714</v>
          </cell>
          <cell r="C28">
            <v>647</v>
          </cell>
          <cell r="D28">
            <v>586</v>
          </cell>
        </row>
        <row r="29">
          <cell r="A29" t="str">
            <v>05:Q3</v>
          </cell>
          <cell r="B29">
            <v>716</v>
          </cell>
          <cell r="C29">
            <v>654</v>
          </cell>
          <cell r="D29">
            <v>591</v>
          </cell>
        </row>
        <row r="30">
          <cell r="A30" t="str">
            <v>05:Q4</v>
          </cell>
          <cell r="B30">
            <v>720</v>
          </cell>
          <cell r="C30">
            <v>656</v>
          </cell>
          <cell r="D30">
            <v>597</v>
          </cell>
        </row>
        <row r="31">
          <cell r="A31" t="str">
            <v>06:Q1</v>
          </cell>
          <cell r="B31">
            <v>717</v>
          </cell>
          <cell r="C31">
            <v>648</v>
          </cell>
          <cell r="D31">
            <v>587</v>
          </cell>
        </row>
        <row r="32">
          <cell r="A32" t="str">
            <v>06:Q2</v>
          </cell>
          <cell r="B32">
            <v>713</v>
          </cell>
          <cell r="C32">
            <v>644</v>
          </cell>
          <cell r="D32">
            <v>586</v>
          </cell>
        </row>
        <row r="33">
          <cell r="A33" t="str">
            <v>06:Q3</v>
          </cell>
          <cell r="B33">
            <v>713</v>
          </cell>
          <cell r="C33">
            <v>647</v>
          </cell>
          <cell r="D33">
            <v>586</v>
          </cell>
        </row>
        <row r="34">
          <cell r="A34" t="str">
            <v>06:Q4</v>
          </cell>
          <cell r="B34">
            <v>707</v>
          </cell>
          <cell r="C34">
            <v>639</v>
          </cell>
          <cell r="D34">
            <v>578</v>
          </cell>
        </row>
        <row r="35">
          <cell r="A35" t="str">
            <v>07:Q1</v>
          </cell>
          <cell r="B35">
            <v>712</v>
          </cell>
          <cell r="C35">
            <v>641</v>
          </cell>
          <cell r="D35">
            <v>576</v>
          </cell>
        </row>
        <row r="36">
          <cell r="A36" t="str">
            <v>07:Q2</v>
          </cell>
          <cell r="B36">
            <v>721</v>
          </cell>
          <cell r="C36">
            <v>649</v>
          </cell>
          <cell r="D36">
            <v>589</v>
          </cell>
        </row>
        <row r="37">
          <cell r="A37" t="str">
            <v>07:Q3</v>
          </cell>
          <cell r="B37">
            <v>725</v>
          </cell>
          <cell r="C37">
            <v>657</v>
          </cell>
          <cell r="D37">
            <v>592</v>
          </cell>
        </row>
        <row r="38">
          <cell r="A38" t="str">
            <v>07:Q4</v>
          </cell>
          <cell r="B38">
            <v>726</v>
          </cell>
          <cell r="C38">
            <v>660</v>
          </cell>
          <cell r="D38">
            <v>596.5</v>
          </cell>
        </row>
        <row r="39">
          <cell r="A39" t="str">
            <v>08:Q1</v>
          </cell>
          <cell r="B39">
            <v>731</v>
          </cell>
          <cell r="C39">
            <v>664</v>
          </cell>
          <cell r="D39">
            <v>601</v>
          </cell>
        </row>
        <row r="40">
          <cell r="A40" t="str">
            <v>08:Q2</v>
          </cell>
          <cell r="B40">
            <v>745</v>
          </cell>
          <cell r="C40">
            <v>677</v>
          </cell>
          <cell r="D40">
            <v>612</v>
          </cell>
        </row>
        <row r="41">
          <cell r="A41" t="str">
            <v>08:Q3</v>
          </cell>
          <cell r="B41">
            <v>741</v>
          </cell>
          <cell r="C41">
            <v>674</v>
          </cell>
          <cell r="D41">
            <v>608</v>
          </cell>
        </row>
        <row r="42">
          <cell r="A42" t="str">
            <v>08:Q4</v>
          </cell>
          <cell r="B42">
            <v>741</v>
          </cell>
          <cell r="C42">
            <v>668</v>
          </cell>
          <cell r="D42">
            <v>607</v>
          </cell>
        </row>
        <row r="43">
          <cell r="A43" t="str">
            <v>09:Q1</v>
          </cell>
          <cell r="B43">
            <v>763</v>
          </cell>
          <cell r="C43">
            <v>695</v>
          </cell>
          <cell r="D43">
            <v>619</v>
          </cell>
        </row>
        <row r="44">
          <cell r="A44" t="str">
            <v>09:Q2</v>
          </cell>
          <cell r="B44">
            <v>773</v>
          </cell>
          <cell r="C44">
            <v>717</v>
          </cell>
          <cell r="D44">
            <v>649</v>
          </cell>
        </row>
        <row r="45">
          <cell r="A45" t="str">
            <v>09:Q3</v>
          </cell>
          <cell r="B45">
            <v>771</v>
          </cell>
          <cell r="C45">
            <v>713</v>
          </cell>
          <cell r="D45">
            <v>647</v>
          </cell>
        </row>
        <row r="46">
          <cell r="A46" t="str">
            <v>09:Q4</v>
          </cell>
          <cell r="B46">
            <v>759</v>
          </cell>
          <cell r="C46">
            <v>700</v>
          </cell>
          <cell r="D46">
            <v>638</v>
          </cell>
        </row>
        <row r="47">
          <cell r="A47" t="str">
            <v>10:Q1</v>
          </cell>
          <cell r="B47">
            <v>761</v>
          </cell>
          <cell r="C47">
            <v>697</v>
          </cell>
          <cell r="D47">
            <v>630</v>
          </cell>
        </row>
        <row r="48">
          <cell r="A48" t="str">
            <v>10:Q2</v>
          </cell>
          <cell r="B48">
            <v>766</v>
          </cell>
          <cell r="C48">
            <v>706</v>
          </cell>
          <cell r="D48">
            <v>645</v>
          </cell>
        </row>
        <row r="49">
          <cell r="A49" t="str">
            <v>10:Q3</v>
          </cell>
          <cell r="B49">
            <v>767</v>
          </cell>
          <cell r="C49">
            <v>705</v>
          </cell>
          <cell r="D49">
            <v>650</v>
          </cell>
        </row>
        <row r="50">
          <cell r="A50" t="str">
            <v>10:Q4</v>
          </cell>
          <cell r="B50">
            <v>779</v>
          </cell>
          <cell r="C50">
            <v>727</v>
          </cell>
          <cell r="D50">
            <v>658</v>
          </cell>
        </row>
        <row r="51">
          <cell r="A51" t="str">
            <v>11:Q1</v>
          </cell>
          <cell r="B51">
            <v>781</v>
          </cell>
          <cell r="C51">
            <v>735</v>
          </cell>
          <cell r="D51">
            <v>675</v>
          </cell>
        </row>
        <row r="52">
          <cell r="A52" t="str">
            <v>11:Q2</v>
          </cell>
          <cell r="B52">
            <v>774</v>
          </cell>
          <cell r="C52">
            <v>725</v>
          </cell>
          <cell r="D52">
            <v>661</v>
          </cell>
        </row>
        <row r="53">
          <cell r="A53" t="str">
            <v>11:Q3</v>
          </cell>
          <cell r="B53">
            <v>763</v>
          </cell>
          <cell r="C53">
            <v>707</v>
          </cell>
          <cell r="D53">
            <v>649</v>
          </cell>
        </row>
        <row r="54">
          <cell r="A54" t="str">
            <v>11:Q4</v>
          </cell>
          <cell r="B54">
            <v>776</v>
          </cell>
          <cell r="C54">
            <v>722</v>
          </cell>
          <cell r="D54">
            <v>657.5</v>
          </cell>
        </row>
        <row r="55">
          <cell r="A55" t="str">
            <v>12:Q1</v>
          </cell>
          <cell r="B55">
            <v>781</v>
          </cell>
          <cell r="C55">
            <v>726</v>
          </cell>
          <cell r="D55">
            <v>673</v>
          </cell>
        </row>
        <row r="56">
          <cell r="A56" t="str">
            <v>12:Q2</v>
          </cell>
          <cell r="B56">
            <v>779</v>
          </cell>
          <cell r="C56">
            <v>729</v>
          </cell>
          <cell r="D56">
            <v>670</v>
          </cell>
        </row>
        <row r="57">
          <cell r="A57" t="str">
            <v>12:Q3</v>
          </cell>
          <cell r="B57">
            <v>775</v>
          </cell>
          <cell r="C57">
            <v>723</v>
          </cell>
          <cell r="D57">
            <v>663</v>
          </cell>
        </row>
        <row r="58">
          <cell r="A58" t="str">
            <v>12:Q4</v>
          </cell>
          <cell r="B58">
            <v>773</v>
          </cell>
          <cell r="C58">
            <v>720</v>
          </cell>
          <cell r="D58">
            <v>663</v>
          </cell>
        </row>
        <row r="59">
          <cell r="A59" t="str">
            <v>13:Q1</v>
          </cell>
          <cell r="B59">
            <v>780</v>
          </cell>
          <cell r="C59">
            <v>726</v>
          </cell>
          <cell r="D59">
            <v>668</v>
          </cell>
        </row>
        <row r="60">
          <cell r="A60" t="str">
            <v>13:Q2</v>
          </cell>
          <cell r="B60">
            <v>773</v>
          </cell>
          <cell r="C60">
            <v>719</v>
          </cell>
          <cell r="D60">
            <v>660</v>
          </cell>
        </row>
        <row r="61">
          <cell r="A61" t="str">
            <v>13:Q3</v>
          </cell>
          <cell r="B61">
            <v>769</v>
          </cell>
          <cell r="C61">
            <v>712</v>
          </cell>
          <cell r="D61">
            <v>658</v>
          </cell>
        </row>
        <row r="62">
          <cell r="A62" t="str">
            <v>13:Q4</v>
          </cell>
          <cell r="B62">
            <v>765</v>
          </cell>
          <cell r="C62">
            <v>709</v>
          </cell>
          <cell r="D62">
            <v>658</v>
          </cell>
        </row>
        <row r="63">
          <cell r="A63" t="str">
            <v>14:Q1</v>
          </cell>
          <cell r="B63">
            <v>756</v>
          </cell>
          <cell r="C63">
            <v>695.5</v>
          </cell>
          <cell r="D63">
            <v>643</v>
          </cell>
        </row>
        <row r="64">
          <cell r="A64" t="str">
            <v>14:Q2</v>
          </cell>
          <cell r="B64">
            <v>759</v>
          </cell>
          <cell r="C64">
            <v>699</v>
          </cell>
          <cell r="D64">
            <v>651</v>
          </cell>
        </row>
        <row r="65">
          <cell r="A65" t="str">
            <v>14:Q3</v>
          </cell>
          <cell r="B65">
            <v>753</v>
          </cell>
          <cell r="C65">
            <v>697</v>
          </cell>
          <cell r="D65">
            <v>645</v>
          </cell>
        </row>
        <row r="66">
          <cell r="A66" t="str">
            <v>14:Q4</v>
          </cell>
          <cell r="B66">
            <v>751</v>
          </cell>
          <cell r="C66">
            <v>692</v>
          </cell>
          <cell r="D66">
            <v>640</v>
          </cell>
        </row>
        <row r="67">
          <cell r="A67" t="str">
            <v>15:Q1</v>
          </cell>
          <cell r="B67">
            <v>764</v>
          </cell>
          <cell r="C67">
            <v>705</v>
          </cell>
          <cell r="D67">
            <v>654</v>
          </cell>
        </row>
        <row r="68">
          <cell r="A68" t="str">
            <v>15:Q2</v>
          </cell>
          <cell r="B68">
            <v>764</v>
          </cell>
          <cell r="C68">
            <v>704</v>
          </cell>
          <cell r="D68">
            <v>653</v>
          </cell>
        </row>
        <row r="69">
          <cell r="A69" t="str">
            <v>15:Q3</v>
          </cell>
          <cell r="B69">
            <v>758</v>
          </cell>
          <cell r="C69">
            <v>703</v>
          </cell>
          <cell r="D69">
            <v>649</v>
          </cell>
        </row>
        <row r="70">
          <cell r="A70" t="str">
            <v>15:Q4</v>
          </cell>
          <cell r="B70">
            <v>753</v>
          </cell>
          <cell r="C70">
            <v>694</v>
          </cell>
          <cell r="D70">
            <v>642</v>
          </cell>
        </row>
        <row r="71">
          <cell r="A71" t="str">
            <v>16:Q1</v>
          </cell>
          <cell r="B71">
            <v>759</v>
          </cell>
          <cell r="C71">
            <v>705</v>
          </cell>
          <cell r="D71">
            <v>653</v>
          </cell>
        </row>
        <row r="72">
          <cell r="A72" t="str">
            <v>16:Q2</v>
          </cell>
          <cell r="B72">
            <v>756</v>
          </cell>
          <cell r="C72">
            <v>699</v>
          </cell>
          <cell r="D72">
            <v>649</v>
          </cell>
        </row>
        <row r="73">
          <cell r="A73" t="str">
            <v>16:Q3</v>
          </cell>
          <cell r="B73">
            <v>760</v>
          </cell>
          <cell r="C73">
            <v>705</v>
          </cell>
          <cell r="D73">
            <v>654</v>
          </cell>
        </row>
        <row r="74">
          <cell r="A74" t="str">
            <v>16:Q4</v>
          </cell>
          <cell r="B74">
            <v>763</v>
          </cell>
          <cell r="C74">
            <v>705</v>
          </cell>
          <cell r="D74">
            <v>655</v>
          </cell>
        </row>
        <row r="75">
          <cell r="A75" t="str">
            <v>17:Q1</v>
          </cell>
          <cell r="B75">
            <v>764</v>
          </cell>
          <cell r="C75">
            <v>707</v>
          </cell>
          <cell r="D75">
            <v>657</v>
          </cell>
        </row>
        <row r="76">
          <cell r="A76" t="str">
            <v>17:Q2</v>
          </cell>
          <cell r="B76">
            <v>754</v>
          </cell>
          <cell r="C76">
            <v>700</v>
          </cell>
          <cell r="D76">
            <v>648</v>
          </cell>
        </row>
        <row r="77">
          <cell r="A77" t="str">
            <v>17:Q3</v>
          </cell>
          <cell r="B77">
            <v>760</v>
          </cell>
          <cell r="C77">
            <v>702</v>
          </cell>
          <cell r="D77">
            <v>654</v>
          </cell>
        </row>
        <row r="78">
          <cell r="A78" t="str">
            <v>17:Q4</v>
          </cell>
          <cell r="B78">
            <v>755</v>
          </cell>
          <cell r="C78">
            <v>697</v>
          </cell>
          <cell r="D78">
            <v>645</v>
          </cell>
        </row>
        <row r="79">
          <cell r="A79" t="str">
            <v>18:Q1</v>
          </cell>
          <cell r="B79">
            <v>761</v>
          </cell>
          <cell r="C79">
            <v>705</v>
          </cell>
          <cell r="D79">
            <v>655</v>
          </cell>
        </row>
        <row r="80">
          <cell r="A80" t="str">
            <v>18:Q2</v>
          </cell>
          <cell r="B80">
            <v>760</v>
          </cell>
          <cell r="C80">
            <v>706</v>
          </cell>
          <cell r="D80">
            <v>651</v>
          </cell>
        </row>
        <row r="81">
          <cell r="A81" t="str">
            <v>18:Q3</v>
          </cell>
          <cell r="B81">
            <v>758</v>
          </cell>
          <cell r="C81">
            <v>698</v>
          </cell>
          <cell r="D81">
            <v>654</v>
          </cell>
        </row>
        <row r="82">
          <cell r="A82" t="str">
            <v>18:Q4</v>
          </cell>
          <cell r="B82">
            <v>758</v>
          </cell>
          <cell r="C82">
            <v>698</v>
          </cell>
          <cell r="D82">
            <v>649</v>
          </cell>
        </row>
        <row r="83">
          <cell r="A83" t="str">
            <v>19:Q1</v>
          </cell>
          <cell r="B83">
            <v>759</v>
          </cell>
          <cell r="C83">
            <v>703</v>
          </cell>
          <cell r="D83">
            <v>647</v>
          </cell>
        </row>
        <row r="84">
          <cell r="A84" t="str">
            <v>19:Q2</v>
          </cell>
          <cell r="B84">
            <v>759</v>
          </cell>
          <cell r="C84">
            <v>701</v>
          </cell>
          <cell r="D84">
            <v>651</v>
          </cell>
        </row>
        <row r="85">
          <cell r="A85" t="str">
            <v>19:Q3</v>
          </cell>
          <cell r="B85">
            <v>765</v>
          </cell>
          <cell r="C85">
            <v>710</v>
          </cell>
          <cell r="D85">
            <v>656</v>
          </cell>
        </row>
        <row r="86">
          <cell r="A86" t="str">
            <v>19:Q4</v>
          </cell>
          <cell r="B86">
            <v>770</v>
          </cell>
          <cell r="C86">
            <v>716</v>
          </cell>
          <cell r="D86">
            <v>661</v>
          </cell>
        </row>
        <row r="87">
          <cell r="A87" t="str">
            <v>20:Q1</v>
          </cell>
          <cell r="B87">
            <v>773</v>
          </cell>
          <cell r="C87">
            <v>721</v>
          </cell>
          <cell r="D87">
            <v>666</v>
          </cell>
        </row>
        <row r="88">
          <cell r="A88" t="str">
            <v>20:Q2</v>
          </cell>
          <cell r="B88">
            <v>784</v>
          </cell>
          <cell r="C88">
            <v>732</v>
          </cell>
          <cell r="D88">
            <v>676</v>
          </cell>
        </row>
        <row r="89">
          <cell r="A89" t="str">
            <v>20:Q3</v>
          </cell>
          <cell r="B89">
            <v>786</v>
          </cell>
          <cell r="C89">
            <v>740</v>
          </cell>
          <cell r="D89">
            <v>683</v>
          </cell>
        </row>
        <row r="90">
          <cell r="A90" t="str">
            <v>20:Q4</v>
          </cell>
          <cell r="B90">
            <v>786</v>
          </cell>
          <cell r="C90">
            <v>737</v>
          </cell>
          <cell r="D90">
            <v>687</v>
          </cell>
        </row>
        <row r="91">
          <cell r="A91" t="str">
            <v>21:Q1</v>
          </cell>
          <cell r="B91">
            <v>788</v>
          </cell>
          <cell r="C91">
            <v>742</v>
          </cell>
          <cell r="D91">
            <v>688</v>
          </cell>
        </row>
        <row r="92">
          <cell r="A92" t="str">
            <v>21:Q2</v>
          </cell>
          <cell r="B92">
            <v>786</v>
          </cell>
          <cell r="C92">
            <v>738</v>
          </cell>
          <cell r="D92">
            <v>687</v>
          </cell>
        </row>
        <row r="93">
          <cell r="A93" t="str">
            <v>21:Q3</v>
          </cell>
          <cell r="B93">
            <v>781</v>
          </cell>
          <cell r="C93">
            <v>729</v>
          </cell>
          <cell r="D93">
            <v>677</v>
          </cell>
        </row>
        <row r="94">
          <cell r="A94" t="str">
            <v>21:Q4</v>
          </cell>
          <cell r="B94">
            <v>778</v>
          </cell>
          <cell r="C94">
            <v>725</v>
          </cell>
          <cell r="D94">
            <v>671</v>
          </cell>
        </row>
        <row r="95">
          <cell r="A95" t="str">
            <v>22:Q1</v>
          </cell>
          <cell r="B95">
            <v>776</v>
          </cell>
          <cell r="C95">
            <v>723</v>
          </cell>
          <cell r="D95">
            <v>674</v>
          </cell>
        </row>
        <row r="96">
          <cell r="A96" t="str">
            <v>22:Q2</v>
          </cell>
          <cell r="B96">
            <v>773</v>
          </cell>
          <cell r="C96">
            <v>720</v>
          </cell>
          <cell r="D96">
            <v>664</v>
          </cell>
        </row>
        <row r="97">
          <cell r="A97" t="str">
            <v>22:Q3</v>
          </cell>
          <cell r="B97">
            <v>768</v>
          </cell>
          <cell r="C97">
            <v>709</v>
          </cell>
          <cell r="D97">
            <v>660</v>
          </cell>
        </row>
        <row r="98">
          <cell r="A98" t="str">
            <v>22:Q4</v>
          </cell>
          <cell r="B98">
            <v>766</v>
          </cell>
          <cell r="C98">
            <v>708</v>
          </cell>
          <cell r="D98">
            <v>653</v>
          </cell>
        </row>
        <row r="99">
          <cell r="A99" t="str">
            <v>23:Q1</v>
          </cell>
          <cell r="B99">
            <v>765</v>
          </cell>
          <cell r="C99">
            <v>714</v>
          </cell>
          <cell r="D99">
            <v>655</v>
          </cell>
        </row>
        <row r="100">
          <cell r="A100" t="str">
            <v>23:Q2</v>
          </cell>
          <cell r="B100">
            <v>769</v>
          </cell>
          <cell r="C100">
            <v>712</v>
          </cell>
          <cell r="D100">
            <v>654</v>
          </cell>
        </row>
        <row r="101">
          <cell r="A101" t="str">
            <v>23:Q3</v>
          </cell>
          <cell r="B101">
            <v>770</v>
          </cell>
          <cell r="C101">
            <v>712</v>
          </cell>
          <cell r="D101">
            <v>664</v>
          </cell>
        </row>
        <row r="102">
          <cell r="A102" t="str">
            <v>23:Q4</v>
          </cell>
          <cell r="B102">
            <v>770</v>
          </cell>
          <cell r="C102">
            <v>717</v>
          </cell>
          <cell r="D102">
            <v>659</v>
          </cell>
        </row>
        <row r="103">
          <cell r="A103" t="str">
            <v>24:Q1</v>
          </cell>
          <cell r="B103">
            <v>770</v>
          </cell>
          <cell r="C103">
            <v>713</v>
          </cell>
          <cell r="D103">
            <v>664</v>
          </cell>
        </row>
        <row r="104">
          <cell r="A104" t="str">
            <v>24:Q2</v>
          </cell>
          <cell r="B104">
            <v>772</v>
          </cell>
          <cell r="C104">
            <v>715</v>
          </cell>
          <cell r="D104">
            <v>657</v>
          </cell>
        </row>
        <row r="105">
          <cell r="A105" t="str">
            <v>24:Q3</v>
          </cell>
          <cell r="B105">
            <v>773</v>
          </cell>
          <cell r="C105">
            <v>720</v>
          </cell>
          <cell r="D105">
            <v>661</v>
          </cell>
        </row>
        <row r="106">
          <cell r="A106" t="str">
            <v>24:Q4</v>
          </cell>
          <cell r="B106">
            <v>774</v>
          </cell>
          <cell r="C106">
            <v>716</v>
          </cell>
          <cell r="D106">
            <v>655</v>
          </cell>
        </row>
        <row r="107">
          <cell r="A107" t="str">
            <v>25:Q1</v>
          </cell>
          <cell r="B107">
            <v>772</v>
          </cell>
          <cell r="C107">
            <v>713</v>
          </cell>
          <cell r="D107">
            <v>650</v>
          </cell>
        </row>
        <row r="108">
          <cell r="A108" t="str">
            <v>25:Q2</v>
          </cell>
          <cell r="B108">
            <v>777</v>
          </cell>
          <cell r="C108">
            <v>724</v>
          </cell>
          <cell r="D108">
            <v>663</v>
          </cell>
        </row>
        <row r="109">
          <cell r="A109" t="str">
            <v>25:Q3</v>
          </cell>
          <cell r="B109">
            <v>775</v>
          </cell>
          <cell r="C109">
            <v>721</v>
          </cell>
          <cell r="D109">
            <v>660</v>
          </cell>
        </row>
        <row r="110">
          <cell r="A110" t="str">
            <v>25:Q4</v>
          </cell>
          <cell r="B110">
            <v>775</v>
          </cell>
          <cell r="C110">
            <v>716</v>
          </cell>
          <cell r="D110">
            <v>650</v>
          </cell>
        </row>
        <row r="111">
          <cell r="A111" t="str">
            <v>26:Q1</v>
          </cell>
          <cell r="B111">
            <v>762</v>
          </cell>
          <cell r="C111">
            <v>710</v>
          </cell>
          <cell r="D111">
            <v>662</v>
          </cell>
        </row>
      </sheetData>
      <sheetData sheetId="11" refreshError="1"/>
      <sheetData sheetId="12">
        <row r="1">
          <cell r="A1" t="str">
            <v>Auto Loan Origination Volume by Riskscore</v>
          </cell>
        </row>
        <row r="2">
          <cell r="A2" t="str">
            <v>Billions of $</v>
          </cell>
        </row>
        <row r="3">
          <cell r="A3" t="str">
            <v>Return to Table of Contents</v>
          </cell>
        </row>
        <row r="4">
          <cell r="B4" t="str">
            <v>&lt;620</v>
          </cell>
          <cell r="C4" t="str">
            <v>620-659</v>
          </cell>
          <cell r="D4" t="str">
            <v>660-719</v>
          </cell>
          <cell r="E4" t="str">
            <v>720-759</v>
          </cell>
          <cell r="F4" t="str">
            <v>760+</v>
          </cell>
        </row>
        <row r="5">
          <cell r="A5" t="str">
            <v>04:Q1</v>
          </cell>
          <cell r="B5">
            <v>31.94924</v>
          </cell>
          <cell r="C5">
            <v>14.46022</v>
          </cell>
          <cell r="D5">
            <v>27.046679999999999</v>
          </cell>
          <cell r="E5">
            <v>17.3</v>
          </cell>
          <cell r="F5">
            <v>21.2</v>
          </cell>
        </row>
        <row r="6">
          <cell r="A6" t="str">
            <v>04:Q2</v>
          </cell>
          <cell r="B6">
            <v>26.809830000000002</v>
          </cell>
          <cell r="C6">
            <v>15.60173</v>
          </cell>
          <cell r="D6">
            <v>32.257429999999999</v>
          </cell>
          <cell r="E6">
            <v>18</v>
          </cell>
          <cell r="F6">
            <v>24.8</v>
          </cell>
        </row>
        <row r="7">
          <cell r="A7" t="str">
            <v>04:Q3</v>
          </cell>
          <cell r="B7">
            <v>30.311039999999998</v>
          </cell>
          <cell r="C7">
            <v>15.613960000000001</v>
          </cell>
          <cell r="D7">
            <v>27.13449</v>
          </cell>
          <cell r="E7">
            <v>18.899999999999999</v>
          </cell>
          <cell r="F7">
            <v>24</v>
          </cell>
        </row>
        <row r="8">
          <cell r="A8" t="str">
            <v>04:Q4</v>
          </cell>
          <cell r="B8">
            <v>30.043030000000002</v>
          </cell>
          <cell r="C8">
            <v>13.34953</v>
          </cell>
          <cell r="D8">
            <v>26.42858</v>
          </cell>
          <cell r="E8">
            <v>16.600000000000001</v>
          </cell>
          <cell r="F8">
            <v>23.4</v>
          </cell>
        </row>
        <row r="9">
          <cell r="A9" t="str">
            <v>05:Q1</v>
          </cell>
          <cell r="B9">
            <v>27.47711</v>
          </cell>
          <cell r="C9">
            <v>11.97451</v>
          </cell>
          <cell r="D9">
            <v>22.976649999999999</v>
          </cell>
          <cell r="E9">
            <v>15.6</v>
          </cell>
          <cell r="F9">
            <v>22.4</v>
          </cell>
        </row>
        <row r="10">
          <cell r="A10" t="str">
            <v>05:Q2</v>
          </cell>
          <cell r="B10">
            <v>41.228499999999997</v>
          </cell>
          <cell r="C10">
            <v>19.742170000000002</v>
          </cell>
          <cell r="D10">
            <v>34.233519999999999</v>
          </cell>
          <cell r="E10">
            <v>21.7</v>
          </cell>
          <cell r="F10">
            <v>33.799999999999997</v>
          </cell>
        </row>
        <row r="11">
          <cell r="A11" t="str">
            <v>05:Q3</v>
          </cell>
          <cell r="B11">
            <v>35.547370000000001</v>
          </cell>
          <cell r="C11">
            <v>22.56446</v>
          </cell>
          <cell r="D11">
            <v>35.304040000000001</v>
          </cell>
          <cell r="E11">
            <v>24.6</v>
          </cell>
          <cell r="F11">
            <v>41.7</v>
          </cell>
        </row>
        <row r="12">
          <cell r="A12" t="str">
            <v>05:Q4</v>
          </cell>
          <cell r="B12">
            <v>31.380330000000001</v>
          </cell>
          <cell r="C12">
            <v>18.101900000000001</v>
          </cell>
          <cell r="D12">
            <v>24.968070000000001</v>
          </cell>
          <cell r="E12">
            <v>13.7</v>
          </cell>
          <cell r="F12">
            <v>20.399999999999999</v>
          </cell>
        </row>
        <row r="13">
          <cell r="A13" t="str">
            <v>06:Q1</v>
          </cell>
          <cell r="B13">
            <v>30.71246</v>
          </cell>
          <cell r="C13">
            <v>13.924580000000001</v>
          </cell>
          <cell r="D13">
            <v>21.214549999999999</v>
          </cell>
          <cell r="E13">
            <v>14.4</v>
          </cell>
          <cell r="F13">
            <v>21</v>
          </cell>
        </row>
        <row r="14">
          <cell r="A14" t="str">
            <v>06:Q2</v>
          </cell>
          <cell r="B14">
            <v>36.41469</v>
          </cell>
          <cell r="C14">
            <v>16.848490000000002</v>
          </cell>
          <cell r="D14">
            <v>23.36336</v>
          </cell>
          <cell r="E14">
            <v>15.8</v>
          </cell>
          <cell r="F14">
            <v>21.9</v>
          </cell>
        </row>
        <row r="15">
          <cell r="A15" t="str">
            <v>06:Q3</v>
          </cell>
          <cell r="B15">
            <v>36.597239999999999</v>
          </cell>
          <cell r="C15">
            <v>19.472539999999999</v>
          </cell>
          <cell r="D15">
            <v>28.594899999999999</v>
          </cell>
          <cell r="E15">
            <v>17.100000000000001</v>
          </cell>
          <cell r="F15">
            <v>27.3</v>
          </cell>
        </row>
        <row r="16">
          <cell r="A16" t="str">
            <v>06:Q4</v>
          </cell>
          <cell r="B16">
            <v>30.805530000000001</v>
          </cell>
          <cell r="C16">
            <v>12.87097</v>
          </cell>
          <cell r="D16">
            <v>23.030899999999999</v>
          </cell>
          <cell r="E16">
            <v>15</v>
          </cell>
          <cell r="F16">
            <v>22.8</v>
          </cell>
        </row>
        <row r="17">
          <cell r="A17" t="str">
            <v>07:Q1</v>
          </cell>
          <cell r="B17">
            <v>27.740310000000001</v>
          </cell>
          <cell r="C17">
            <v>11.71996</v>
          </cell>
          <cell r="D17">
            <v>19.336590000000001</v>
          </cell>
          <cell r="E17">
            <v>13.7</v>
          </cell>
          <cell r="F17">
            <v>21.1</v>
          </cell>
        </row>
        <row r="18">
          <cell r="A18" t="str">
            <v>07:Q2</v>
          </cell>
          <cell r="B18">
            <v>30.871500000000001</v>
          </cell>
          <cell r="C18">
            <v>13.89913</v>
          </cell>
          <cell r="D18">
            <v>22.22278</v>
          </cell>
          <cell r="E18">
            <v>15.6</v>
          </cell>
          <cell r="F18">
            <v>25.5</v>
          </cell>
        </row>
        <row r="19">
          <cell r="A19" t="str">
            <v>07:Q3</v>
          </cell>
          <cell r="B19">
            <v>32.500369999999997</v>
          </cell>
          <cell r="C19">
            <v>15.057449999999999</v>
          </cell>
          <cell r="D19">
            <v>22.701450000000001</v>
          </cell>
          <cell r="E19">
            <v>17.100000000000001</v>
          </cell>
          <cell r="F19">
            <v>27.2</v>
          </cell>
        </row>
        <row r="20">
          <cell r="A20" t="str">
            <v>07:Q4</v>
          </cell>
          <cell r="B20">
            <v>28.686340000000001</v>
          </cell>
          <cell r="C20">
            <v>11.841229999999999</v>
          </cell>
          <cell r="D20">
            <v>19.253299999999999</v>
          </cell>
          <cell r="E20">
            <v>14.2</v>
          </cell>
          <cell r="F20">
            <v>24.9</v>
          </cell>
        </row>
        <row r="21">
          <cell r="A21" t="str">
            <v>08:Q1</v>
          </cell>
          <cell r="B21">
            <v>24.86262</v>
          </cell>
          <cell r="C21">
            <v>10.919980000000001</v>
          </cell>
          <cell r="D21">
            <v>17.724170000000001</v>
          </cell>
          <cell r="E21">
            <v>13.3</v>
          </cell>
          <cell r="F21">
            <v>22.1</v>
          </cell>
        </row>
        <row r="22">
          <cell r="A22" t="str">
            <v>08:Q2</v>
          </cell>
          <cell r="B22">
            <v>25.935700000000001</v>
          </cell>
          <cell r="C22">
            <v>12.54724</v>
          </cell>
          <cell r="D22">
            <v>18.339939999999999</v>
          </cell>
          <cell r="E22">
            <v>14.8</v>
          </cell>
          <cell r="F22">
            <v>26.4</v>
          </cell>
        </row>
        <row r="23">
          <cell r="A23" t="str">
            <v>08:Q3</v>
          </cell>
          <cell r="B23">
            <v>21.501899999999999</v>
          </cell>
          <cell r="C23">
            <v>11.67911</v>
          </cell>
          <cell r="D23">
            <v>20.544750000000001</v>
          </cell>
          <cell r="E23">
            <v>14</v>
          </cell>
          <cell r="F23">
            <v>25.8</v>
          </cell>
        </row>
        <row r="24">
          <cell r="A24" t="str">
            <v>08:Q4</v>
          </cell>
          <cell r="B24">
            <v>16.942250000000001</v>
          </cell>
          <cell r="C24">
            <v>8.6436320000000002</v>
          </cell>
          <cell r="D24">
            <v>15.453939999999999</v>
          </cell>
          <cell r="E24">
            <v>11.3</v>
          </cell>
          <cell r="F24">
            <v>20.5</v>
          </cell>
        </row>
        <row r="25">
          <cell r="A25" t="str">
            <v>09:Q1</v>
          </cell>
          <cell r="B25">
            <v>13.96847</v>
          </cell>
          <cell r="C25">
            <v>7.1719239999999997</v>
          </cell>
          <cell r="D25">
            <v>13.255039999999999</v>
          </cell>
          <cell r="E25">
            <v>10.199999999999999</v>
          </cell>
          <cell r="F25">
            <v>20.399999999999999</v>
          </cell>
        </row>
        <row r="26">
          <cell r="A26" t="str">
            <v>09:Q2</v>
          </cell>
          <cell r="B26">
            <v>12.55306</v>
          </cell>
          <cell r="C26">
            <v>7.5489230000000003</v>
          </cell>
          <cell r="D26">
            <v>14.177720000000001</v>
          </cell>
          <cell r="E26">
            <v>11.4</v>
          </cell>
          <cell r="F26">
            <v>23.7</v>
          </cell>
        </row>
        <row r="27">
          <cell r="A27" t="str">
            <v>09:Q3</v>
          </cell>
          <cell r="B27">
            <v>14.59981</v>
          </cell>
          <cell r="C27">
            <v>8.8157139999999998</v>
          </cell>
          <cell r="D27">
            <v>15.64508</v>
          </cell>
          <cell r="E27">
            <v>13.7</v>
          </cell>
          <cell r="F27">
            <v>28.2</v>
          </cell>
        </row>
        <row r="28">
          <cell r="A28" t="str">
            <v>09:Q4</v>
          </cell>
          <cell r="B28">
            <v>11.446199999999999</v>
          </cell>
          <cell r="C28">
            <v>7.3519030000000001</v>
          </cell>
          <cell r="D28">
            <v>13.225440000000001</v>
          </cell>
          <cell r="E28">
            <v>11.3</v>
          </cell>
          <cell r="F28">
            <v>23.2</v>
          </cell>
        </row>
        <row r="29">
          <cell r="A29" t="str">
            <v>10:Q1</v>
          </cell>
          <cell r="B29">
            <v>11.908329999999999</v>
          </cell>
          <cell r="C29">
            <v>7.5704549999999999</v>
          </cell>
          <cell r="D29">
            <v>12.873239999999999</v>
          </cell>
          <cell r="E29">
            <v>10.3</v>
          </cell>
          <cell r="F29">
            <v>22.6</v>
          </cell>
        </row>
        <row r="30">
          <cell r="A30" t="str">
            <v>10:Q2</v>
          </cell>
          <cell r="B30">
            <v>15.582470000000001</v>
          </cell>
          <cell r="C30">
            <v>9.0929459999999995</v>
          </cell>
          <cell r="D30">
            <v>17.26426</v>
          </cell>
          <cell r="E30">
            <v>13.3</v>
          </cell>
          <cell r="F30">
            <v>28.6</v>
          </cell>
        </row>
        <row r="31">
          <cell r="A31" t="str">
            <v>10:Q3</v>
          </cell>
          <cell r="B31">
            <v>15.37984</v>
          </cell>
          <cell r="C31">
            <v>10.20139</v>
          </cell>
          <cell r="D31">
            <v>19.455739999999999</v>
          </cell>
          <cell r="E31">
            <v>14</v>
          </cell>
          <cell r="F31">
            <v>30.8</v>
          </cell>
        </row>
        <row r="32">
          <cell r="A32" t="str">
            <v>10:Q4</v>
          </cell>
          <cell r="B32">
            <v>16.818000000000001</v>
          </cell>
          <cell r="C32">
            <v>9.0100850000000001</v>
          </cell>
          <cell r="D32">
            <v>17.03312</v>
          </cell>
          <cell r="E32">
            <v>12.7</v>
          </cell>
          <cell r="F32">
            <v>26.4</v>
          </cell>
        </row>
        <row r="33">
          <cell r="A33" t="str">
            <v>11:Q1</v>
          </cell>
          <cell r="B33">
            <v>14.98259</v>
          </cell>
          <cell r="C33">
            <v>9.4779060000000008</v>
          </cell>
          <cell r="D33">
            <v>16.206019999999999</v>
          </cell>
          <cell r="E33">
            <v>12.1</v>
          </cell>
          <cell r="F33">
            <v>26.4</v>
          </cell>
        </row>
        <row r="34">
          <cell r="A34" t="str">
            <v>11:Q2</v>
          </cell>
          <cell r="B34">
            <v>18.423500000000001</v>
          </cell>
          <cell r="C34">
            <v>11.491680000000001</v>
          </cell>
          <cell r="D34">
            <v>18.878319999999999</v>
          </cell>
          <cell r="E34">
            <v>13.7</v>
          </cell>
          <cell r="F34">
            <v>29.9</v>
          </cell>
        </row>
        <row r="35">
          <cell r="A35" t="str">
            <v>11:Q3</v>
          </cell>
          <cell r="B35">
            <v>20.321020000000001</v>
          </cell>
          <cell r="C35">
            <v>12.694570000000001</v>
          </cell>
          <cell r="D35">
            <v>22.100290000000001</v>
          </cell>
          <cell r="E35">
            <v>14.5</v>
          </cell>
          <cell r="F35">
            <v>29.8</v>
          </cell>
        </row>
        <row r="36">
          <cell r="A36" t="str">
            <v>11:Q4</v>
          </cell>
          <cell r="B36">
            <v>17.667770000000001</v>
          </cell>
          <cell r="C36">
            <v>11.245419999999999</v>
          </cell>
          <cell r="D36">
            <v>18.706150000000001</v>
          </cell>
          <cell r="E36">
            <v>13.6</v>
          </cell>
          <cell r="F36">
            <v>27</v>
          </cell>
        </row>
        <row r="37">
          <cell r="A37" t="str">
            <v>12:Q1</v>
          </cell>
          <cell r="B37">
            <v>19.137789999999999</v>
          </cell>
          <cell r="C37">
            <v>11.177619999999999</v>
          </cell>
          <cell r="D37">
            <v>18.44811</v>
          </cell>
          <cell r="E37">
            <v>12.8</v>
          </cell>
          <cell r="F37">
            <v>28</v>
          </cell>
        </row>
        <row r="38">
          <cell r="A38" t="str">
            <v>12:Q2</v>
          </cell>
          <cell r="B38">
            <v>23.127649999999999</v>
          </cell>
          <cell r="C38">
            <v>13.579129999999999</v>
          </cell>
          <cell r="D38">
            <v>20.995280000000001</v>
          </cell>
          <cell r="E38">
            <v>14.8</v>
          </cell>
          <cell r="F38">
            <v>29.5</v>
          </cell>
        </row>
        <row r="39">
          <cell r="A39" t="str">
            <v>12:Q3</v>
          </cell>
          <cell r="B39">
            <v>24.445879999999999</v>
          </cell>
          <cell r="C39">
            <v>14.19711</v>
          </cell>
          <cell r="D39">
            <v>21.52103</v>
          </cell>
          <cell r="E39">
            <v>15.2</v>
          </cell>
          <cell r="F39">
            <v>32.200000000000003</v>
          </cell>
        </row>
        <row r="40">
          <cell r="A40" t="str">
            <v>12:Q4</v>
          </cell>
          <cell r="B40">
            <v>23.529800000000002</v>
          </cell>
          <cell r="C40">
            <v>14.885009999999999</v>
          </cell>
          <cell r="D40">
            <v>23.54111</v>
          </cell>
          <cell r="E40">
            <v>16.399999999999999</v>
          </cell>
          <cell r="F40">
            <v>31.6</v>
          </cell>
        </row>
        <row r="41">
          <cell r="A41" t="str">
            <v>13:Q1</v>
          </cell>
          <cell r="B41">
            <v>20.33531</v>
          </cell>
          <cell r="C41">
            <v>13.36436</v>
          </cell>
          <cell r="D41">
            <v>21.460059999999999</v>
          </cell>
          <cell r="E41">
            <v>14.3</v>
          </cell>
          <cell r="F41">
            <v>29.7</v>
          </cell>
        </row>
        <row r="42">
          <cell r="A42" t="str">
            <v>13:Q2</v>
          </cell>
          <cell r="B42">
            <v>26.16338</v>
          </cell>
          <cell r="C42">
            <v>15.67625</v>
          </cell>
          <cell r="D42">
            <v>25.09965</v>
          </cell>
          <cell r="E42">
            <v>15.3</v>
          </cell>
          <cell r="F42">
            <v>33.799999999999997</v>
          </cell>
        </row>
        <row r="43">
          <cell r="A43" t="str">
            <v>13:Q3</v>
          </cell>
          <cell r="B43">
            <v>26.790500000000002</v>
          </cell>
          <cell r="C43">
            <v>17.433589999999999</v>
          </cell>
          <cell r="D43">
            <v>29.14611</v>
          </cell>
          <cell r="E43">
            <v>17.899999999999999</v>
          </cell>
          <cell r="F43">
            <v>36.299999999999997</v>
          </cell>
        </row>
        <row r="44">
          <cell r="A44" t="str">
            <v>13:Q4</v>
          </cell>
          <cell r="B44">
            <v>25.193020000000001</v>
          </cell>
          <cell r="C44">
            <v>15.591189999999999</v>
          </cell>
          <cell r="D44">
            <v>22.50178</v>
          </cell>
          <cell r="E44">
            <v>15.1</v>
          </cell>
          <cell r="F44">
            <v>31.7</v>
          </cell>
        </row>
        <row r="45">
          <cell r="A45" t="str">
            <v>14:Q1</v>
          </cell>
          <cell r="B45">
            <v>23.111889999999999</v>
          </cell>
          <cell r="C45">
            <v>13.96747</v>
          </cell>
          <cell r="D45">
            <v>22.972570000000001</v>
          </cell>
          <cell r="E45">
            <v>15</v>
          </cell>
          <cell r="F45">
            <v>33.799999999999997</v>
          </cell>
        </row>
        <row r="46">
          <cell r="A46" t="str">
            <v>14:Q2</v>
          </cell>
          <cell r="B46">
            <v>28.10791</v>
          </cell>
          <cell r="C46">
            <v>17.452490000000001</v>
          </cell>
          <cell r="D46">
            <v>27.039380000000001</v>
          </cell>
          <cell r="E46">
            <v>17.8</v>
          </cell>
          <cell r="F46">
            <v>35.5</v>
          </cell>
        </row>
        <row r="47">
          <cell r="A47" t="str">
            <v>14:Q3</v>
          </cell>
          <cell r="B47">
            <v>29.00751</v>
          </cell>
          <cell r="C47">
            <v>16.938040000000001</v>
          </cell>
          <cell r="D47">
            <v>29.371259999999999</v>
          </cell>
          <cell r="E47">
            <v>18.899999999999999</v>
          </cell>
          <cell r="F47">
            <v>38.4</v>
          </cell>
        </row>
        <row r="48">
          <cell r="A48" t="str">
            <v>14:Q4</v>
          </cell>
          <cell r="B48">
            <v>28.630310000000001</v>
          </cell>
          <cell r="C48">
            <v>16.548749999999998</v>
          </cell>
          <cell r="D48">
            <v>26.807759999999998</v>
          </cell>
          <cell r="E48">
            <v>17.399999999999999</v>
          </cell>
          <cell r="F48">
            <v>36.1</v>
          </cell>
        </row>
        <row r="49">
          <cell r="A49" t="str">
            <v>15:Q1</v>
          </cell>
          <cell r="B49">
            <v>25.278379999999999</v>
          </cell>
          <cell r="C49">
            <v>14.614929999999999</v>
          </cell>
          <cell r="D49">
            <v>25.4955</v>
          </cell>
          <cell r="E49">
            <v>15.7</v>
          </cell>
          <cell r="F49">
            <v>35.9</v>
          </cell>
        </row>
        <row r="50">
          <cell r="A50" t="str">
            <v>15:Q2</v>
          </cell>
          <cell r="B50">
            <v>37.637009999999997</v>
          </cell>
          <cell r="C50">
            <v>20.733910000000002</v>
          </cell>
          <cell r="D50">
            <v>30.888030000000001</v>
          </cell>
          <cell r="E50">
            <v>18.8</v>
          </cell>
          <cell r="F50">
            <v>40.200000000000003</v>
          </cell>
        </row>
        <row r="51">
          <cell r="A51" t="str">
            <v>15:Q3</v>
          </cell>
          <cell r="B51">
            <v>33.166220000000003</v>
          </cell>
          <cell r="C51">
            <v>20.103429999999999</v>
          </cell>
          <cell r="D51">
            <v>31.716190000000001</v>
          </cell>
          <cell r="E51">
            <v>19.899999999999999</v>
          </cell>
          <cell r="F51">
            <v>45.9</v>
          </cell>
        </row>
        <row r="52">
          <cell r="A52" t="str">
            <v>15:Q4</v>
          </cell>
          <cell r="B52">
            <v>28.721979999999999</v>
          </cell>
          <cell r="C52">
            <v>17.055879999999998</v>
          </cell>
          <cell r="D52">
            <v>28.881489999999999</v>
          </cell>
          <cell r="E52">
            <v>18.5</v>
          </cell>
          <cell r="F52">
            <v>38.299999999999997</v>
          </cell>
        </row>
        <row r="53">
          <cell r="A53" t="str">
            <v>16:Q1</v>
          </cell>
          <cell r="B53">
            <v>26.9</v>
          </cell>
          <cell r="C53">
            <v>16.100000000000001</v>
          </cell>
          <cell r="D53">
            <v>26.3</v>
          </cell>
          <cell r="E53">
            <v>17.100000000000001</v>
          </cell>
          <cell r="F53">
            <v>37.5</v>
          </cell>
        </row>
        <row r="54">
          <cell r="A54" t="str">
            <v>16:Q2</v>
          </cell>
          <cell r="B54">
            <v>33.59413</v>
          </cell>
          <cell r="C54">
            <v>20.671389999999999</v>
          </cell>
          <cell r="D54">
            <v>31.666450000000001</v>
          </cell>
          <cell r="E54">
            <v>20.6</v>
          </cell>
          <cell r="F54">
            <v>42.4</v>
          </cell>
        </row>
        <row r="55">
          <cell r="A55" t="str">
            <v>16:Q3</v>
          </cell>
          <cell r="B55">
            <v>31.3</v>
          </cell>
          <cell r="C55">
            <v>19.8</v>
          </cell>
          <cell r="D55">
            <v>33.5</v>
          </cell>
          <cell r="E55">
            <v>21.2</v>
          </cell>
          <cell r="F55">
            <v>44</v>
          </cell>
        </row>
        <row r="56">
          <cell r="A56" t="str">
            <v>16:Q4</v>
          </cell>
          <cell r="B56">
            <v>27.2</v>
          </cell>
          <cell r="C56">
            <v>17.8</v>
          </cell>
          <cell r="D56">
            <v>31.8</v>
          </cell>
          <cell r="E56">
            <v>19.5</v>
          </cell>
          <cell r="F56">
            <v>45.7</v>
          </cell>
        </row>
        <row r="57">
          <cell r="A57" t="str">
            <v>17:Q1</v>
          </cell>
          <cell r="B57">
            <v>25.9</v>
          </cell>
          <cell r="C57">
            <v>15.6</v>
          </cell>
          <cell r="D57">
            <v>28.5</v>
          </cell>
          <cell r="E57">
            <v>20.399999999999999</v>
          </cell>
          <cell r="F57">
            <v>42</v>
          </cell>
        </row>
        <row r="58">
          <cell r="A58" t="str">
            <v>17:Q2</v>
          </cell>
          <cell r="B58">
            <v>32.269999999999996</v>
          </cell>
          <cell r="C58">
            <v>18.59</v>
          </cell>
          <cell r="D58">
            <v>33.17</v>
          </cell>
          <cell r="E58">
            <v>20.62</v>
          </cell>
          <cell r="F58">
            <v>43.71</v>
          </cell>
        </row>
        <row r="59">
          <cell r="A59" t="str">
            <v>17:Q3</v>
          </cell>
          <cell r="B59">
            <v>29.593389999999999</v>
          </cell>
          <cell r="C59">
            <v>18.218340000000001</v>
          </cell>
          <cell r="D59">
            <v>33.708379999999998</v>
          </cell>
          <cell r="E59">
            <v>23.046759999999999</v>
          </cell>
          <cell r="F59">
            <v>46.067819999999998</v>
          </cell>
        </row>
        <row r="60">
          <cell r="A60" t="str">
            <v>17:Q4</v>
          </cell>
          <cell r="B60">
            <v>25.996770000000001</v>
          </cell>
          <cell r="C60">
            <v>16.71095</v>
          </cell>
          <cell r="D60">
            <v>30.207750000000001</v>
          </cell>
          <cell r="E60">
            <v>20.193950000000001</v>
          </cell>
          <cell r="F60">
            <v>44.094439999999999</v>
          </cell>
        </row>
        <row r="61">
          <cell r="A61" t="str">
            <v>18:Q1</v>
          </cell>
          <cell r="B61">
            <v>24.658930000000002</v>
          </cell>
          <cell r="C61">
            <v>15.13152</v>
          </cell>
          <cell r="D61">
            <v>28.571269999999998</v>
          </cell>
          <cell r="E61">
            <v>18.91405</v>
          </cell>
          <cell r="F61">
            <v>43.593130000000002</v>
          </cell>
        </row>
        <row r="62">
          <cell r="A62" t="str">
            <v>18:Q2</v>
          </cell>
          <cell r="B62">
            <v>32.15117</v>
          </cell>
          <cell r="C62">
            <v>18.36215</v>
          </cell>
          <cell r="D62">
            <v>31.587900000000001</v>
          </cell>
          <cell r="E62">
            <v>21.414020000000001</v>
          </cell>
          <cell r="F62">
            <v>47.710230000000003</v>
          </cell>
        </row>
        <row r="63">
          <cell r="A63" t="str">
            <v>18:Q3</v>
          </cell>
          <cell r="B63">
            <v>32.551000000000002</v>
          </cell>
          <cell r="C63">
            <v>18.126169999999998</v>
          </cell>
          <cell r="D63">
            <v>33.813229999999997</v>
          </cell>
          <cell r="E63">
            <v>23.224779999999999</v>
          </cell>
          <cell r="F63">
            <v>49.872520000000002</v>
          </cell>
        </row>
        <row r="64">
          <cell r="A64" t="str">
            <v>18:Q4</v>
          </cell>
          <cell r="B64">
            <v>27.872229999999998</v>
          </cell>
          <cell r="C64">
            <v>16.683140000000002</v>
          </cell>
          <cell r="D64">
            <v>31.758990000000001</v>
          </cell>
          <cell r="E64">
            <v>20.302990000000001</v>
          </cell>
          <cell r="F64">
            <v>47.710410000000003</v>
          </cell>
        </row>
        <row r="65">
          <cell r="A65" t="str">
            <v>19:Q1</v>
          </cell>
          <cell r="B65">
            <v>27.880420000000001</v>
          </cell>
          <cell r="C65">
            <v>17.009499999999999</v>
          </cell>
          <cell r="D65">
            <v>29.135739999999998</v>
          </cell>
          <cell r="E65">
            <v>19.13287</v>
          </cell>
          <cell r="F65">
            <v>45.92689</v>
          </cell>
        </row>
        <row r="66">
          <cell r="A66" t="str">
            <v>19:Q2</v>
          </cell>
          <cell r="B66">
            <v>32.69303</v>
          </cell>
          <cell r="C66">
            <v>19.227589999999999</v>
          </cell>
          <cell r="D66">
            <v>31.810020000000002</v>
          </cell>
          <cell r="E66">
            <v>22.595980000000001</v>
          </cell>
          <cell r="F66">
            <v>49.232750000000003</v>
          </cell>
        </row>
        <row r="67">
          <cell r="A67" t="str">
            <v>19:Q3</v>
          </cell>
          <cell r="B67">
            <v>30.149450000000002</v>
          </cell>
          <cell r="C67">
            <v>18.872710000000001</v>
          </cell>
          <cell r="D67">
            <v>32.512419999999999</v>
          </cell>
          <cell r="E67">
            <v>24.572479999999999</v>
          </cell>
          <cell r="F67">
            <v>53.033369999999998</v>
          </cell>
        </row>
        <row r="68">
          <cell r="A68" t="str">
            <v>19:Q4</v>
          </cell>
          <cell r="B68">
            <v>30.96696</v>
          </cell>
          <cell r="C68">
            <v>16.66676</v>
          </cell>
          <cell r="D68">
            <v>33.547919999999998</v>
          </cell>
          <cell r="E68">
            <v>22.427969999999998</v>
          </cell>
          <cell r="F68">
            <v>54.959919999999997</v>
          </cell>
        </row>
        <row r="69">
          <cell r="A69" t="str">
            <v>20:Q1</v>
          </cell>
          <cell r="B69">
            <v>28.36947</v>
          </cell>
          <cell r="C69">
            <v>15.62683</v>
          </cell>
          <cell r="D69">
            <v>28.97953</v>
          </cell>
          <cell r="E69">
            <v>24.353259999999999</v>
          </cell>
          <cell r="F69">
            <v>52.971110000000003</v>
          </cell>
        </row>
        <row r="70">
          <cell r="A70" t="str">
            <v>20:Q2</v>
          </cell>
          <cell r="B70">
            <v>25.141539999999999</v>
          </cell>
          <cell r="C70">
            <v>15.78881</v>
          </cell>
          <cell r="D70">
            <v>29.49605</v>
          </cell>
          <cell r="E70">
            <v>20.152229999999999</v>
          </cell>
          <cell r="F70">
            <v>45.272150000000003</v>
          </cell>
        </row>
        <row r="71">
          <cell r="A71" t="str">
            <v>20:Q3</v>
          </cell>
          <cell r="B71">
            <v>28.339009999999998</v>
          </cell>
          <cell r="C71">
            <v>20.724350000000001</v>
          </cell>
          <cell r="D71">
            <v>35.918579999999999</v>
          </cell>
          <cell r="E71">
            <v>25.678550000000001</v>
          </cell>
          <cell r="F71">
            <v>57.571849999999998</v>
          </cell>
        </row>
        <row r="72">
          <cell r="A72" t="str">
            <v>20:Q4</v>
          </cell>
          <cell r="B72">
            <v>28.063210000000002</v>
          </cell>
          <cell r="C72">
            <v>19.676179999999999</v>
          </cell>
          <cell r="D72">
            <v>31.36533</v>
          </cell>
          <cell r="E72">
            <v>24.373899999999999</v>
          </cell>
          <cell r="F72">
            <v>58.127049999999997</v>
          </cell>
        </row>
        <row r="73">
          <cell r="A73" t="str">
            <v>21:Q1</v>
          </cell>
          <cell r="B73">
            <v>23.32695</v>
          </cell>
          <cell r="C73">
            <v>17.16864</v>
          </cell>
          <cell r="D73">
            <v>32.838740000000001</v>
          </cell>
          <cell r="E73">
            <v>23.479749999999999</v>
          </cell>
          <cell r="F73">
            <v>55.933149999999998</v>
          </cell>
        </row>
        <row r="74">
          <cell r="A74" t="str">
            <v>21:Q2</v>
          </cell>
          <cell r="B74">
            <v>35.229840000000003</v>
          </cell>
          <cell r="C74">
            <v>23.298279999999998</v>
          </cell>
          <cell r="D74">
            <v>45.061450000000001</v>
          </cell>
          <cell r="E74">
            <v>31.107469999999999</v>
          </cell>
          <cell r="F74">
            <v>67.17192</v>
          </cell>
        </row>
        <row r="75">
          <cell r="A75" t="str">
            <v>21:Q3</v>
          </cell>
          <cell r="B75">
            <v>33.80471</v>
          </cell>
          <cell r="C75">
            <v>23.711379999999998</v>
          </cell>
          <cell r="D75">
            <v>45.57488</v>
          </cell>
          <cell r="E75">
            <v>32.455660000000002</v>
          </cell>
          <cell r="F75">
            <v>63.216369999999998</v>
          </cell>
        </row>
        <row r="76">
          <cell r="A76" t="str">
            <v>21:Q4</v>
          </cell>
          <cell r="B76">
            <v>30.905470000000001</v>
          </cell>
          <cell r="C76">
            <v>22.298670000000001</v>
          </cell>
          <cell r="D76">
            <v>40.660310000000003</v>
          </cell>
          <cell r="E76">
            <v>27.91086</v>
          </cell>
          <cell r="F76">
            <v>58.7669</v>
          </cell>
        </row>
        <row r="77">
          <cell r="A77" t="str">
            <v>22:Q1</v>
          </cell>
          <cell r="B77">
            <v>27.741879999999998</v>
          </cell>
          <cell r="C77">
            <v>21.999020000000002</v>
          </cell>
          <cell r="D77">
            <v>40.31765</v>
          </cell>
          <cell r="E77">
            <v>27.047509999999999</v>
          </cell>
          <cell r="F77">
            <v>59.533799999999999</v>
          </cell>
        </row>
        <row r="78">
          <cell r="A78" t="str">
            <v>22:Q2</v>
          </cell>
          <cell r="B78">
            <v>35.413029999999999</v>
          </cell>
          <cell r="C78">
            <v>23.670819999999999</v>
          </cell>
          <cell r="D78">
            <v>44.687089999999998</v>
          </cell>
          <cell r="E78">
            <v>29.760680000000001</v>
          </cell>
          <cell r="F78">
            <v>65.304929999999999</v>
          </cell>
        </row>
        <row r="79">
          <cell r="A79" t="str">
            <v>22:Q3</v>
          </cell>
          <cell r="B79">
            <v>30.281269999999999</v>
          </cell>
          <cell r="C79">
            <v>21.284400000000002</v>
          </cell>
          <cell r="D79">
            <v>40.796370000000003</v>
          </cell>
          <cell r="E79">
            <v>30.624189999999999</v>
          </cell>
          <cell r="F79">
            <v>62.39293</v>
          </cell>
        </row>
        <row r="80">
          <cell r="A80" t="str">
            <v>22:Q4</v>
          </cell>
          <cell r="B80">
            <v>28.5</v>
          </cell>
          <cell r="C80">
            <v>20.8</v>
          </cell>
          <cell r="D80">
            <v>44.3</v>
          </cell>
          <cell r="E80">
            <v>30.2</v>
          </cell>
          <cell r="F80">
            <v>62.4</v>
          </cell>
        </row>
        <row r="81">
          <cell r="A81" t="str">
            <v>23:Q1</v>
          </cell>
          <cell r="B81">
            <v>23.413430000000002</v>
          </cell>
          <cell r="C81">
            <v>16.292149999999999</v>
          </cell>
          <cell r="D81">
            <v>34.920729999999999</v>
          </cell>
          <cell r="E81">
            <v>27.523479999999999</v>
          </cell>
          <cell r="F81">
            <v>59.505400000000002</v>
          </cell>
        </row>
        <row r="82">
          <cell r="A82" t="str">
            <v>23:Q2</v>
          </cell>
          <cell r="B82">
            <v>29.810980000000001</v>
          </cell>
          <cell r="C82">
            <v>18.51933</v>
          </cell>
          <cell r="D82">
            <v>38.440719999999999</v>
          </cell>
          <cell r="E82">
            <v>28.35557</v>
          </cell>
          <cell r="F82">
            <v>63.827889999999996</v>
          </cell>
        </row>
        <row r="83">
          <cell r="A83" t="str">
            <v>23:Q3</v>
          </cell>
          <cell r="B83">
            <v>28.02047</v>
          </cell>
          <cell r="C83">
            <v>18.793289999999999</v>
          </cell>
          <cell r="D83">
            <v>38.79027</v>
          </cell>
          <cell r="E83">
            <v>27.57807</v>
          </cell>
          <cell r="F83">
            <v>66.10127</v>
          </cell>
        </row>
        <row r="84">
          <cell r="A84" t="str">
            <v>23:Q4</v>
          </cell>
          <cell r="B84">
            <v>25.540289999999999</v>
          </cell>
          <cell r="C84">
            <v>17.049499999999998</v>
          </cell>
          <cell r="D84">
            <v>34.550730000000001</v>
          </cell>
          <cell r="E84">
            <v>25.257380000000001</v>
          </cell>
          <cell r="F84">
            <v>62.52769</v>
          </cell>
        </row>
        <row r="85">
          <cell r="A85" t="str">
            <v>24:Q1</v>
          </cell>
          <cell r="B85">
            <v>26.233309999999999</v>
          </cell>
          <cell r="C85">
            <v>15.849550000000001</v>
          </cell>
          <cell r="D85">
            <v>34.265569999999997</v>
          </cell>
          <cell r="E85">
            <v>25.588180000000001</v>
          </cell>
          <cell r="F85">
            <v>63.602440000000001</v>
          </cell>
        </row>
        <row r="86">
          <cell r="A86" t="str">
            <v>24:Q2</v>
          </cell>
          <cell r="B86">
            <v>29.973880000000001</v>
          </cell>
          <cell r="C86">
            <v>18.736709999999999</v>
          </cell>
          <cell r="D86">
            <v>36.563429999999997</v>
          </cell>
          <cell r="E86">
            <v>28.284690000000001</v>
          </cell>
          <cell r="F86">
            <v>65.589529999999996</v>
          </cell>
        </row>
        <row r="87">
          <cell r="A87" t="str">
            <v>24:Q3</v>
          </cell>
          <cell r="B87">
            <v>31.152159999999999</v>
          </cell>
          <cell r="C87">
            <v>18.234449999999999</v>
          </cell>
          <cell r="D87">
            <v>37.30677</v>
          </cell>
          <cell r="E87">
            <v>28.558050000000001</v>
          </cell>
          <cell r="F87">
            <v>68.961969999999994</v>
          </cell>
        </row>
        <row r="88">
          <cell r="A88" t="str">
            <v>24:Q4</v>
          </cell>
          <cell r="B88">
            <v>28.265219999999999</v>
          </cell>
          <cell r="C88">
            <v>17.211880000000001</v>
          </cell>
          <cell r="D88">
            <v>36.231360000000002</v>
          </cell>
          <cell r="E88">
            <v>27.66272</v>
          </cell>
          <cell r="F88">
            <v>65.711489999999998</v>
          </cell>
        </row>
        <row r="89">
          <cell r="A89" t="str">
            <v>25:Q1</v>
          </cell>
          <cell r="B89">
            <v>25.743739999999999</v>
          </cell>
          <cell r="C89">
            <v>14.04664</v>
          </cell>
          <cell r="D89">
            <v>32.888399999999997</v>
          </cell>
          <cell r="E89">
            <v>24.83053</v>
          </cell>
          <cell r="F89">
            <v>68.055239999999998</v>
          </cell>
        </row>
        <row r="90">
          <cell r="A90" t="str">
            <v>25:Q2</v>
          </cell>
          <cell r="B90">
            <v>30.4</v>
          </cell>
          <cell r="C90">
            <v>17.7</v>
          </cell>
          <cell r="D90">
            <v>36.1</v>
          </cell>
          <cell r="E90">
            <v>28.6</v>
          </cell>
          <cell r="F90">
            <v>75.099999999999994</v>
          </cell>
        </row>
        <row r="91">
          <cell r="A91" t="str">
            <v>25:Q3</v>
          </cell>
          <cell r="B91">
            <v>27.550740000000001</v>
          </cell>
          <cell r="C91">
            <v>17.469259999999998</v>
          </cell>
          <cell r="D91">
            <v>35.768990000000002</v>
          </cell>
          <cell r="E91">
            <v>29.638069999999999</v>
          </cell>
          <cell r="F91">
            <v>73.437100000000001</v>
          </cell>
        </row>
        <row r="92">
          <cell r="A92" t="str">
            <v>25:Q4</v>
          </cell>
          <cell r="B92">
            <v>31.75</v>
          </cell>
          <cell r="C92">
            <v>17.47</v>
          </cell>
          <cell r="D92">
            <v>37.299999999999997</v>
          </cell>
          <cell r="E92">
            <v>26.23</v>
          </cell>
          <cell r="F92">
            <v>68.09</v>
          </cell>
        </row>
        <row r="93">
          <cell r="A93" t="str">
            <v>26:Q1</v>
          </cell>
          <cell r="B93">
            <v>28.42</v>
          </cell>
          <cell r="C93">
            <v>21.54</v>
          </cell>
          <cell r="D93">
            <v>32.68</v>
          </cell>
          <cell r="E93">
            <v>21.39</v>
          </cell>
          <cell r="F93">
            <v>78.02</v>
          </cell>
        </row>
      </sheetData>
      <sheetData sheetId="13" refreshError="1"/>
      <sheetData sheetId="14">
        <row r="1">
          <cell r="A1" t="str">
            <v>Distribution of Riskscore of Auto Loan Originations</v>
          </cell>
        </row>
        <row r="2">
          <cell r="A2" t="str">
            <v>Return to Table of Contents</v>
          </cell>
        </row>
        <row r="3">
          <cell r="B3" t="str">
            <v>Auto Loans</v>
          </cell>
        </row>
        <row r="4">
          <cell r="B4" t="str">
            <v>Median</v>
          </cell>
          <cell r="C4" t="str">
            <v>25th percentile</v>
          </cell>
          <cell r="D4" t="str">
            <v>10th percentile</v>
          </cell>
        </row>
        <row r="5">
          <cell r="A5" t="str">
            <v>99:Q2</v>
          </cell>
          <cell r="B5">
            <v>670</v>
          </cell>
          <cell r="C5">
            <v>605</v>
          </cell>
          <cell r="D5">
            <v>541</v>
          </cell>
        </row>
        <row r="6">
          <cell r="A6" t="str">
            <v>99:Q3</v>
          </cell>
          <cell r="B6">
            <v>680</v>
          </cell>
          <cell r="C6">
            <v>611</v>
          </cell>
          <cell r="D6">
            <v>548</v>
          </cell>
        </row>
        <row r="7">
          <cell r="A7" t="str">
            <v>99:Q4</v>
          </cell>
          <cell r="B7">
            <v>667</v>
          </cell>
          <cell r="C7">
            <v>597</v>
          </cell>
          <cell r="D7">
            <v>532</v>
          </cell>
        </row>
        <row r="8">
          <cell r="A8" t="str">
            <v>00:Q1</v>
          </cell>
          <cell r="B8">
            <v>676</v>
          </cell>
          <cell r="C8">
            <v>608</v>
          </cell>
          <cell r="D8">
            <v>539</v>
          </cell>
        </row>
        <row r="9">
          <cell r="A9" t="str">
            <v>00:Q2</v>
          </cell>
          <cell r="B9">
            <v>677</v>
          </cell>
          <cell r="C9">
            <v>604</v>
          </cell>
          <cell r="D9">
            <v>539</v>
          </cell>
        </row>
        <row r="10">
          <cell r="A10" t="str">
            <v>00:Q3</v>
          </cell>
          <cell r="B10">
            <v>673</v>
          </cell>
          <cell r="C10">
            <v>600</v>
          </cell>
          <cell r="D10">
            <v>536</v>
          </cell>
        </row>
        <row r="11">
          <cell r="A11" t="str">
            <v>00:Q4</v>
          </cell>
          <cell r="B11">
            <v>685</v>
          </cell>
          <cell r="C11">
            <v>616</v>
          </cell>
          <cell r="D11">
            <v>547</v>
          </cell>
        </row>
        <row r="12">
          <cell r="A12" t="str">
            <v>01:Q1</v>
          </cell>
          <cell r="B12">
            <v>674</v>
          </cell>
          <cell r="C12">
            <v>597</v>
          </cell>
          <cell r="D12">
            <v>522</v>
          </cell>
        </row>
        <row r="13">
          <cell r="A13" t="str">
            <v>01:Q2</v>
          </cell>
          <cell r="B13">
            <v>676</v>
          </cell>
          <cell r="C13">
            <v>600</v>
          </cell>
          <cell r="D13">
            <v>530</v>
          </cell>
        </row>
        <row r="14">
          <cell r="A14" t="str">
            <v>01:Q3</v>
          </cell>
          <cell r="B14">
            <v>682</v>
          </cell>
          <cell r="C14">
            <v>609</v>
          </cell>
          <cell r="D14">
            <v>536</v>
          </cell>
        </row>
        <row r="15">
          <cell r="A15" t="str">
            <v>01:Q4</v>
          </cell>
          <cell r="B15">
            <v>686</v>
          </cell>
          <cell r="C15">
            <v>610</v>
          </cell>
          <cell r="D15">
            <v>535</v>
          </cell>
        </row>
        <row r="16">
          <cell r="A16" t="str">
            <v>02:Q1</v>
          </cell>
          <cell r="B16">
            <v>695</v>
          </cell>
          <cell r="C16">
            <v>618</v>
          </cell>
          <cell r="D16">
            <v>542</v>
          </cell>
        </row>
        <row r="17">
          <cell r="A17" t="str">
            <v>02:Q2</v>
          </cell>
          <cell r="B17">
            <v>684</v>
          </cell>
          <cell r="C17">
            <v>610</v>
          </cell>
          <cell r="D17">
            <v>540</v>
          </cell>
        </row>
        <row r="18">
          <cell r="A18" t="str">
            <v>02:Q3</v>
          </cell>
          <cell r="B18">
            <v>681</v>
          </cell>
          <cell r="C18">
            <v>607</v>
          </cell>
          <cell r="D18">
            <v>537</v>
          </cell>
        </row>
        <row r="19">
          <cell r="A19" t="str">
            <v>02:Q4</v>
          </cell>
          <cell r="B19">
            <v>690</v>
          </cell>
          <cell r="C19">
            <v>619</v>
          </cell>
          <cell r="D19">
            <v>548</v>
          </cell>
        </row>
        <row r="20">
          <cell r="A20" t="str">
            <v>03:Q1</v>
          </cell>
          <cell r="B20">
            <v>689</v>
          </cell>
          <cell r="C20">
            <v>618</v>
          </cell>
          <cell r="D20">
            <v>550</v>
          </cell>
        </row>
        <row r="21">
          <cell r="A21" t="str">
            <v>03:Q2</v>
          </cell>
          <cell r="B21">
            <v>689</v>
          </cell>
          <cell r="C21">
            <v>619</v>
          </cell>
          <cell r="D21">
            <v>556</v>
          </cell>
        </row>
        <row r="22">
          <cell r="A22" t="str">
            <v>03:Q3</v>
          </cell>
          <cell r="B22">
            <v>699</v>
          </cell>
          <cell r="C22">
            <v>627</v>
          </cell>
          <cell r="D22">
            <v>558</v>
          </cell>
        </row>
        <row r="23">
          <cell r="A23" t="str">
            <v>03:Q4</v>
          </cell>
          <cell r="B23">
            <v>694</v>
          </cell>
          <cell r="C23">
            <v>624</v>
          </cell>
          <cell r="D23">
            <v>556</v>
          </cell>
        </row>
        <row r="24">
          <cell r="A24" t="str">
            <v>04:Q1</v>
          </cell>
          <cell r="B24">
            <v>674</v>
          </cell>
          <cell r="C24">
            <v>599</v>
          </cell>
          <cell r="D24">
            <v>536</v>
          </cell>
        </row>
        <row r="25">
          <cell r="A25" t="str">
            <v>04:Q2</v>
          </cell>
          <cell r="B25">
            <v>687</v>
          </cell>
          <cell r="C25">
            <v>619</v>
          </cell>
          <cell r="D25">
            <v>556</v>
          </cell>
        </row>
        <row r="26">
          <cell r="A26" t="str">
            <v>04:Q3</v>
          </cell>
          <cell r="B26">
            <v>685</v>
          </cell>
          <cell r="C26">
            <v>614</v>
          </cell>
          <cell r="D26">
            <v>552</v>
          </cell>
        </row>
        <row r="27">
          <cell r="A27" t="str">
            <v>04:Q4</v>
          </cell>
          <cell r="B27">
            <v>689</v>
          </cell>
          <cell r="C27">
            <v>613</v>
          </cell>
          <cell r="D27">
            <v>554</v>
          </cell>
        </row>
        <row r="28">
          <cell r="A28" t="str">
            <v>05:Q1</v>
          </cell>
          <cell r="B28">
            <v>685</v>
          </cell>
          <cell r="C28">
            <v>609</v>
          </cell>
          <cell r="D28">
            <v>549</v>
          </cell>
        </row>
        <row r="29">
          <cell r="A29" t="str">
            <v>05:Q2</v>
          </cell>
          <cell r="B29">
            <v>688</v>
          </cell>
          <cell r="C29">
            <v>611</v>
          </cell>
          <cell r="D29">
            <v>553</v>
          </cell>
        </row>
        <row r="30">
          <cell r="A30" t="str">
            <v>05:Q3</v>
          </cell>
          <cell r="B30">
            <v>685</v>
          </cell>
          <cell r="C30">
            <v>611</v>
          </cell>
          <cell r="D30">
            <v>550</v>
          </cell>
        </row>
        <row r="31">
          <cell r="A31" t="str">
            <v>05:Q4</v>
          </cell>
          <cell r="B31">
            <v>674</v>
          </cell>
          <cell r="C31">
            <v>604</v>
          </cell>
          <cell r="D31">
            <v>545</v>
          </cell>
        </row>
        <row r="32">
          <cell r="A32" t="str">
            <v>06:Q1</v>
          </cell>
          <cell r="B32">
            <v>678</v>
          </cell>
          <cell r="C32">
            <v>604</v>
          </cell>
          <cell r="D32">
            <v>545</v>
          </cell>
        </row>
        <row r="33">
          <cell r="A33" t="str">
            <v>06:Q2</v>
          </cell>
          <cell r="B33">
            <v>675</v>
          </cell>
          <cell r="C33">
            <v>602</v>
          </cell>
          <cell r="D33">
            <v>547</v>
          </cell>
        </row>
        <row r="34">
          <cell r="A34" t="str">
            <v>06:Q3</v>
          </cell>
          <cell r="B34">
            <v>682</v>
          </cell>
          <cell r="C34">
            <v>606</v>
          </cell>
          <cell r="D34">
            <v>549</v>
          </cell>
        </row>
        <row r="35">
          <cell r="A35" t="str">
            <v>06:Q4</v>
          </cell>
          <cell r="B35">
            <v>683</v>
          </cell>
          <cell r="C35">
            <v>607</v>
          </cell>
          <cell r="D35">
            <v>546</v>
          </cell>
        </row>
        <row r="36">
          <cell r="A36" t="str">
            <v>07:Q1</v>
          </cell>
          <cell r="B36">
            <v>678</v>
          </cell>
          <cell r="C36">
            <v>602</v>
          </cell>
          <cell r="D36">
            <v>545</v>
          </cell>
        </row>
        <row r="37">
          <cell r="A37" t="str">
            <v>07:Q2</v>
          </cell>
          <cell r="B37">
            <v>678</v>
          </cell>
          <cell r="C37">
            <v>603</v>
          </cell>
          <cell r="D37">
            <v>543</v>
          </cell>
        </row>
        <row r="38">
          <cell r="A38" t="str">
            <v>07:Q3</v>
          </cell>
          <cell r="B38">
            <v>686</v>
          </cell>
          <cell r="C38">
            <v>610</v>
          </cell>
          <cell r="D38">
            <v>551</v>
          </cell>
        </row>
        <row r="39">
          <cell r="A39" t="str">
            <v>07:Q4</v>
          </cell>
          <cell r="B39">
            <v>682</v>
          </cell>
          <cell r="C39">
            <v>604</v>
          </cell>
          <cell r="D39">
            <v>538</v>
          </cell>
        </row>
        <row r="40">
          <cell r="A40" t="str">
            <v>08:Q1</v>
          </cell>
          <cell r="B40">
            <v>686</v>
          </cell>
          <cell r="C40">
            <v>606</v>
          </cell>
          <cell r="D40">
            <v>545</v>
          </cell>
        </row>
        <row r="41">
          <cell r="A41" t="str">
            <v>08:Q2</v>
          </cell>
          <cell r="B41">
            <v>690</v>
          </cell>
          <cell r="C41">
            <v>610</v>
          </cell>
          <cell r="D41">
            <v>544</v>
          </cell>
        </row>
        <row r="42">
          <cell r="A42" t="str">
            <v>08:Q3</v>
          </cell>
          <cell r="B42">
            <v>695</v>
          </cell>
          <cell r="C42">
            <v>621</v>
          </cell>
          <cell r="D42">
            <v>556</v>
          </cell>
        </row>
        <row r="43">
          <cell r="A43" t="str">
            <v>08:Q4</v>
          </cell>
          <cell r="B43">
            <v>696</v>
          </cell>
          <cell r="C43">
            <v>619</v>
          </cell>
          <cell r="D43">
            <v>555</v>
          </cell>
        </row>
        <row r="44">
          <cell r="A44" t="str">
            <v>09:Q1</v>
          </cell>
          <cell r="B44">
            <v>706.5</v>
          </cell>
          <cell r="C44">
            <v>628</v>
          </cell>
          <cell r="D44">
            <v>558</v>
          </cell>
        </row>
        <row r="45">
          <cell r="A45" t="str">
            <v>09:Q2</v>
          </cell>
          <cell r="B45">
            <v>713</v>
          </cell>
          <cell r="C45">
            <v>636</v>
          </cell>
          <cell r="D45">
            <v>570</v>
          </cell>
        </row>
        <row r="46">
          <cell r="A46" t="str">
            <v>09:Q3</v>
          </cell>
          <cell r="B46">
            <v>717</v>
          </cell>
          <cell r="C46">
            <v>639</v>
          </cell>
          <cell r="D46">
            <v>575</v>
          </cell>
        </row>
        <row r="47">
          <cell r="A47" t="str">
            <v>09:Q4</v>
          </cell>
          <cell r="B47">
            <v>716</v>
          </cell>
          <cell r="C47">
            <v>637</v>
          </cell>
          <cell r="D47">
            <v>573</v>
          </cell>
        </row>
        <row r="48">
          <cell r="A48" t="str">
            <v>10:Q1</v>
          </cell>
          <cell r="B48">
            <v>714</v>
          </cell>
          <cell r="C48">
            <v>638</v>
          </cell>
          <cell r="D48">
            <v>573</v>
          </cell>
        </row>
        <row r="49">
          <cell r="A49" t="str">
            <v>10:Q2</v>
          </cell>
          <cell r="B49">
            <v>711</v>
          </cell>
          <cell r="C49">
            <v>635</v>
          </cell>
          <cell r="D49">
            <v>575</v>
          </cell>
        </row>
        <row r="50">
          <cell r="A50" t="str">
            <v>10:Q3</v>
          </cell>
          <cell r="B50">
            <v>713</v>
          </cell>
          <cell r="C50">
            <v>642</v>
          </cell>
          <cell r="D50">
            <v>580</v>
          </cell>
        </row>
        <row r="51">
          <cell r="A51" t="str">
            <v>10:Q4</v>
          </cell>
          <cell r="B51">
            <v>709</v>
          </cell>
          <cell r="C51">
            <v>636</v>
          </cell>
          <cell r="D51">
            <v>577</v>
          </cell>
        </row>
        <row r="52">
          <cell r="A52" t="str">
            <v>11:Q1</v>
          </cell>
          <cell r="B52">
            <v>709</v>
          </cell>
          <cell r="C52">
            <v>634</v>
          </cell>
          <cell r="D52">
            <v>572</v>
          </cell>
        </row>
        <row r="53">
          <cell r="A53" t="str">
            <v>11:Q2</v>
          </cell>
          <cell r="B53">
            <v>704</v>
          </cell>
          <cell r="C53">
            <v>630</v>
          </cell>
          <cell r="D53">
            <v>569</v>
          </cell>
        </row>
        <row r="54">
          <cell r="A54" t="str">
            <v>11:Q3</v>
          </cell>
          <cell r="B54">
            <v>703</v>
          </cell>
          <cell r="C54">
            <v>632</v>
          </cell>
          <cell r="D54">
            <v>571</v>
          </cell>
        </row>
        <row r="55">
          <cell r="A55" t="str">
            <v>11:Q4</v>
          </cell>
          <cell r="B55">
            <v>701</v>
          </cell>
          <cell r="C55">
            <v>627</v>
          </cell>
          <cell r="D55">
            <v>564</v>
          </cell>
        </row>
        <row r="56">
          <cell r="A56" t="str">
            <v>12:Q1</v>
          </cell>
          <cell r="B56">
            <v>701</v>
          </cell>
          <cell r="C56">
            <v>626</v>
          </cell>
          <cell r="D56">
            <v>570</v>
          </cell>
        </row>
        <row r="57">
          <cell r="A57" t="str">
            <v>12:Q2</v>
          </cell>
          <cell r="B57">
            <v>693</v>
          </cell>
          <cell r="C57">
            <v>618</v>
          </cell>
          <cell r="D57">
            <v>559</v>
          </cell>
        </row>
        <row r="58">
          <cell r="A58" t="str">
            <v>12:Q3</v>
          </cell>
          <cell r="B58">
            <v>698</v>
          </cell>
          <cell r="C58">
            <v>624</v>
          </cell>
          <cell r="D58">
            <v>568</v>
          </cell>
        </row>
        <row r="59">
          <cell r="A59" t="str">
            <v>12:Q4</v>
          </cell>
          <cell r="B59">
            <v>697</v>
          </cell>
          <cell r="C59">
            <v>626</v>
          </cell>
          <cell r="D59">
            <v>567</v>
          </cell>
        </row>
        <row r="60">
          <cell r="A60" t="str">
            <v>13:Q1</v>
          </cell>
          <cell r="B60">
            <v>699</v>
          </cell>
          <cell r="C60">
            <v>627</v>
          </cell>
          <cell r="D60">
            <v>570</v>
          </cell>
        </row>
        <row r="61">
          <cell r="A61" t="str">
            <v>13:Q2</v>
          </cell>
          <cell r="B61">
            <v>694</v>
          </cell>
          <cell r="C61">
            <v>621</v>
          </cell>
          <cell r="D61">
            <v>562</v>
          </cell>
        </row>
        <row r="62">
          <cell r="A62" t="str">
            <v>13:Q3</v>
          </cell>
          <cell r="B62">
            <v>690</v>
          </cell>
          <cell r="C62">
            <v>628</v>
          </cell>
          <cell r="D62">
            <v>568</v>
          </cell>
        </row>
        <row r="63">
          <cell r="A63" t="str">
            <v>13:Q4</v>
          </cell>
          <cell r="B63">
            <v>691</v>
          </cell>
          <cell r="C63">
            <v>621</v>
          </cell>
          <cell r="D63">
            <v>562</v>
          </cell>
        </row>
        <row r="64">
          <cell r="A64" t="str">
            <v>14:Q1</v>
          </cell>
          <cell r="B64">
            <v>701</v>
          </cell>
          <cell r="C64">
            <v>628</v>
          </cell>
          <cell r="D64">
            <v>568</v>
          </cell>
        </row>
        <row r="65">
          <cell r="A65" t="str">
            <v>14:Q2</v>
          </cell>
          <cell r="B65">
            <v>692</v>
          </cell>
          <cell r="C65">
            <v>624</v>
          </cell>
          <cell r="D65">
            <v>564</v>
          </cell>
        </row>
        <row r="66">
          <cell r="A66" t="str">
            <v>14:Q3</v>
          </cell>
          <cell r="B66">
            <v>694</v>
          </cell>
          <cell r="C66">
            <v>624</v>
          </cell>
          <cell r="D66">
            <v>566</v>
          </cell>
        </row>
        <row r="67">
          <cell r="A67" t="str">
            <v>14:Q4</v>
          </cell>
          <cell r="B67">
            <v>695</v>
          </cell>
          <cell r="C67">
            <v>627</v>
          </cell>
          <cell r="D67">
            <v>568</v>
          </cell>
        </row>
        <row r="68">
          <cell r="A68" t="str">
            <v>15:Q1</v>
          </cell>
          <cell r="B68">
            <v>696</v>
          </cell>
          <cell r="C68">
            <v>627</v>
          </cell>
          <cell r="D68">
            <v>570</v>
          </cell>
        </row>
        <row r="69">
          <cell r="A69" t="str">
            <v>15:Q2</v>
          </cell>
          <cell r="B69">
            <v>683</v>
          </cell>
          <cell r="C69">
            <v>616</v>
          </cell>
          <cell r="D69">
            <v>556</v>
          </cell>
        </row>
        <row r="70">
          <cell r="A70" t="str">
            <v>15:Q3</v>
          </cell>
          <cell r="B70">
            <v>696</v>
          </cell>
          <cell r="C70">
            <v>626</v>
          </cell>
          <cell r="D70">
            <v>566</v>
          </cell>
        </row>
        <row r="71">
          <cell r="A71" t="str">
            <v>15:Q4</v>
          </cell>
          <cell r="B71">
            <v>696</v>
          </cell>
          <cell r="C71">
            <v>626</v>
          </cell>
          <cell r="D71">
            <v>564</v>
          </cell>
        </row>
        <row r="72">
          <cell r="A72" t="str">
            <v>16:Q1</v>
          </cell>
          <cell r="B72">
            <v>695</v>
          </cell>
          <cell r="C72">
            <v>623</v>
          </cell>
          <cell r="D72">
            <v>562</v>
          </cell>
        </row>
        <row r="73">
          <cell r="A73" t="str">
            <v>16:Q2</v>
          </cell>
          <cell r="B73">
            <v>696</v>
          </cell>
          <cell r="C73">
            <v>626</v>
          </cell>
          <cell r="D73">
            <v>563</v>
          </cell>
        </row>
        <row r="74">
          <cell r="A74" t="str">
            <v>16:Q3</v>
          </cell>
          <cell r="B74">
            <v>698.5</v>
          </cell>
          <cell r="C74">
            <v>628</v>
          </cell>
          <cell r="D74">
            <v>567</v>
          </cell>
        </row>
        <row r="75">
          <cell r="A75" t="str">
            <v>16:Q4</v>
          </cell>
          <cell r="B75">
            <v>700</v>
          </cell>
          <cell r="C75">
            <v>629</v>
          </cell>
          <cell r="D75">
            <v>565</v>
          </cell>
        </row>
        <row r="76">
          <cell r="A76" t="str">
            <v>17:Q1</v>
          </cell>
          <cell r="B76">
            <v>706</v>
          </cell>
          <cell r="C76">
            <v>634</v>
          </cell>
          <cell r="D76">
            <v>572</v>
          </cell>
        </row>
        <row r="77">
          <cell r="A77" t="str">
            <v>17:Q2</v>
          </cell>
          <cell r="B77">
            <v>698</v>
          </cell>
          <cell r="C77">
            <v>627</v>
          </cell>
          <cell r="D77">
            <v>564</v>
          </cell>
        </row>
        <row r="78">
          <cell r="A78" t="str">
            <v>17:Q3</v>
          </cell>
          <cell r="B78">
            <v>705</v>
          </cell>
          <cell r="C78">
            <v>637</v>
          </cell>
          <cell r="D78">
            <v>573</v>
          </cell>
        </row>
        <row r="79">
          <cell r="A79" t="str">
            <v>17:Q4</v>
          </cell>
          <cell r="B79">
            <v>707</v>
          </cell>
          <cell r="C79">
            <v>636</v>
          </cell>
          <cell r="D79">
            <v>575</v>
          </cell>
        </row>
        <row r="80">
          <cell r="A80" t="str">
            <v>18:Q1</v>
          </cell>
          <cell r="B80">
            <v>708</v>
          </cell>
          <cell r="C80">
            <v>637</v>
          </cell>
          <cell r="D80">
            <v>573</v>
          </cell>
        </row>
        <row r="81">
          <cell r="A81" t="str">
            <v>18:Q2</v>
          </cell>
          <cell r="B81">
            <v>703</v>
          </cell>
          <cell r="C81">
            <v>630</v>
          </cell>
          <cell r="D81">
            <v>568</v>
          </cell>
        </row>
        <row r="82">
          <cell r="A82" t="str">
            <v>18:Q3</v>
          </cell>
          <cell r="B82">
            <v>704</v>
          </cell>
          <cell r="C82">
            <v>632</v>
          </cell>
          <cell r="D82">
            <v>570</v>
          </cell>
        </row>
        <row r="83">
          <cell r="A83" t="str">
            <v>18:Q4</v>
          </cell>
          <cell r="B83">
            <v>710</v>
          </cell>
          <cell r="C83">
            <v>639</v>
          </cell>
          <cell r="D83">
            <v>572</v>
          </cell>
        </row>
        <row r="84">
          <cell r="A84" t="str">
            <v>19:Q1</v>
          </cell>
          <cell r="B84">
            <v>708</v>
          </cell>
          <cell r="C84">
            <v>633</v>
          </cell>
          <cell r="D84">
            <v>566</v>
          </cell>
        </row>
        <row r="85">
          <cell r="A85" t="str">
            <v>19:Q2</v>
          </cell>
          <cell r="B85">
            <v>703</v>
          </cell>
          <cell r="C85">
            <v>631</v>
          </cell>
          <cell r="D85">
            <v>567</v>
          </cell>
        </row>
        <row r="86">
          <cell r="A86" t="str">
            <v>19:Q3</v>
          </cell>
          <cell r="B86">
            <v>711</v>
          </cell>
          <cell r="C86">
            <v>638</v>
          </cell>
          <cell r="D86">
            <v>573</v>
          </cell>
        </row>
        <row r="87">
          <cell r="A87" t="str">
            <v>19:Q4</v>
          </cell>
          <cell r="B87">
            <v>715</v>
          </cell>
          <cell r="C87">
            <v>641</v>
          </cell>
          <cell r="D87">
            <v>572</v>
          </cell>
        </row>
        <row r="88">
          <cell r="A88" t="str">
            <v>20:Q1</v>
          </cell>
          <cell r="B88">
            <v>718</v>
          </cell>
          <cell r="C88">
            <v>640</v>
          </cell>
          <cell r="D88">
            <v>574</v>
          </cell>
        </row>
        <row r="89">
          <cell r="A89" t="str">
            <v>20:Q2</v>
          </cell>
          <cell r="B89">
            <v>707</v>
          </cell>
          <cell r="C89">
            <v>636</v>
          </cell>
          <cell r="D89">
            <v>573</v>
          </cell>
        </row>
        <row r="90">
          <cell r="A90" t="str">
            <v>20:Q3</v>
          </cell>
          <cell r="B90">
            <v>712</v>
          </cell>
          <cell r="C90">
            <v>643</v>
          </cell>
          <cell r="D90">
            <v>586</v>
          </cell>
        </row>
        <row r="91">
          <cell r="A91" t="str">
            <v>20:Q4</v>
          </cell>
          <cell r="B91">
            <v>717</v>
          </cell>
          <cell r="C91">
            <v>643</v>
          </cell>
          <cell r="D91">
            <v>583</v>
          </cell>
        </row>
        <row r="92">
          <cell r="A92" t="str">
            <v>21:Q1</v>
          </cell>
          <cell r="B92">
            <v>720</v>
          </cell>
          <cell r="C92">
            <v>650</v>
          </cell>
          <cell r="D92">
            <v>592</v>
          </cell>
        </row>
        <row r="93">
          <cell r="A93" t="str">
            <v>21:Q2</v>
          </cell>
          <cell r="B93">
            <v>710</v>
          </cell>
          <cell r="C93">
            <v>641</v>
          </cell>
          <cell r="D93">
            <v>582</v>
          </cell>
        </row>
        <row r="94">
          <cell r="A94" t="str">
            <v>21:Q3</v>
          </cell>
          <cell r="B94">
            <v>712</v>
          </cell>
          <cell r="C94">
            <v>644</v>
          </cell>
          <cell r="D94">
            <v>586</v>
          </cell>
        </row>
        <row r="95">
          <cell r="A95" t="str">
            <v>21:Q4</v>
          </cell>
          <cell r="B95">
            <v>709</v>
          </cell>
          <cell r="C95">
            <v>642</v>
          </cell>
          <cell r="D95">
            <v>582</v>
          </cell>
        </row>
        <row r="96">
          <cell r="A96" t="str">
            <v>22:Q1</v>
          </cell>
          <cell r="B96">
            <v>713</v>
          </cell>
          <cell r="C96">
            <v>648</v>
          </cell>
          <cell r="D96">
            <v>587</v>
          </cell>
        </row>
        <row r="97">
          <cell r="A97" t="str">
            <v>22:Q2</v>
          </cell>
          <cell r="B97">
            <v>710</v>
          </cell>
          <cell r="C97">
            <v>640</v>
          </cell>
          <cell r="D97">
            <v>580</v>
          </cell>
        </row>
        <row r="98">
          <cell r="A98" t="str">
            <v>22:Q3</v>
          </cell>
          <cell r="B98">
            <v>713</v>
          </cell>
          <cell r="C98">
            <v>644</v>
          </cell>
          <cell r="D98">
            <v>581</v>
          </cell>
        </row>
        <row r="99">
          <cell r="A99" t="str">
            <v>22:Q4</v>
          </cell>
          <cell r="B99">
            <v>711</v>
          </cell>
          <cell r="C99">
            <v>644</v>
          </cell>
          <cell r="D99">
            <v>581</v>
          </cell>
        </row>
        <row r="100">
          <cell r="A100" t="str">
            <v>23:Q1</v>
          </cell>
          <cell r="B100">
            <v>720.5</v>
          </cell>
          <cell r="C100">
            <v>652</v>
          </cell>
          <cell r="D100">
            <v>585</v>
          </cell>
        </row>
        <row r="101">
          <cell r="A101" t="str">
            <v>23:Q2</v>
          </cell>
          <cell r="B101">
            <v>716</v>
          </cell>
          <cell r="C101">
            <v>646</v>
          </cell>
          <cell r="D101">
            <v>581</v>
          </cell>
        </row>
        <row r="102">
          <cell r="A102" t="str">
            <v>23:Q3</v>
          </cell>
          <cell r="B102">
            <v>719</v>
          </cell>
          <cell r="C102">
            <v>648</v>
          </cell>
          <cell r="D102">
            <v>581</v>
          </cell>
        </row>
        <row r="103">
          <cell r="A103" t="str">
            <v>23:Q4</v>
          </cell>
          <cell r="B103">
            <v>720</v>
          </cell>
          <cell r="C103">
            <v>649</v>
          </cell>
          <cell r="D103">
            <v>586</v>
          </cell>
        </row>
        <row r="104">
          <cell r="A104" t="str">
            <v>24:Q1</v>
          </cell>
          <cell r="B104">
            <v>724</v>
          </cell>
          <cell r="C104">
            <v>653</v>
          </cell>
          <cell r="D104">
            <v>585</v>
          </cell>
        </row>
        <row r="105">
          <cell r="A105" t="str">
            <v>24:Q2</v>
          </cell>
          <cell r="B105">
            <v>719</v>
          </cell>
          <cell r="C105">
            <v>646</v>
          </cell>
          <cell r="D105">
            <v>578</v>
          </cell>
        </row>
        <row r="106">
          <cell r="A106" t="str">
            <v>24:Q3</v>
          </cell>
          <cell r="B106">
            <v>722</v>
          </cell>
          <cell r="C106">
            <v>651</v>
          </cell>
          <cell r="D106">
            <v>582</v>
          </cell>
        </row>
        <row r="107">
          <cell r="A107" t="str">
            <v>24:Q4</v>
          </cell>
          <cell r="B107">
            <v>722</v>
          </cell>
          <cell r="C107">
            <v>648</v>
          </cell>
          <cell r="D107">
            <v>580</v>
          </cell>
        </row>
        <row r="108">
          <cell r="A108" t="str">
            <v>25:Q1</v>
          </cell>
          <cell r="B108">
            <v>730</v>
          </cell>
          <cell r="C108">
            <v>656</v>
          </cell>
          <cell r="D108">
            <v>583</v>
          </cell>
        </row>
        <row r="109">
          <cell r="A109" t="str">
            <v>25:Q2</v>
          </cell>
          <cell r="B109">
            <v>724</v>
          </cell>
          <cell r="C109">
            <v>646</v>
          </cell>
          <cell r="D109">
            <v>567</v>
          </cell>
        </row>
        <row r="110">
          <cell r="A110" t="str">
            <v>25:Q3</v>
          </cell>
          <cell r="B110">
            <v>724</v>
          </cell>
          <cell r="C110">
            <v>649</v>
          </cell>
          <cell r="D110">
            <v>576</v>
          </cell>
        </row>
        <row r="111">
          <cell r="A111" t="str">
            <v>25:Q4</v>
          </cell>
          <cell r="B111">
            <v>716</v>
          </cell>
          <cell r="C111">
            <v>639</v>
          </cell>
          <cell r="D111">
            <v>567</v>
          </cell>
        </row>
        <row r="112">
          <cell r="A112" t="str">
            <v>26:Q1</v>
          </cell>
          <cell r="B112">
            <v>723</v>
          </cell>
          <cell r="C112">
            <v>640</v>
          </cell>
          <cell r="D112">
            <v>577</v>
          </cell>
        </row>
      </sheetData>
      <sheetData sheetId="15" refreshError="1"/>
      <sheetData sheetId="16">
        <row r="1">
          <cell r="A1" t="str">
            <v xml:space="preserve">Credit Limit and Balance for Credit Cards and HE Revolving </v>
          </cell>
        </row>
        <row r="2">
          <cell r="A2" t="str">
            <v>Trillions of $</v>
          </cell>
        </row>
        <row r="3">
          <cell r="A3" t="str">
            <v>Return to Table of Contents</v>
          </cell>
        </row>
        <row r="4">
          <cell r="B4" t="str">
            <v>Credit Card Balance</v>
          </cell>
          <cell r="C4" t="str">
            <v>Credit Card Available Credit</v>
          </cell>
          <cell r="D4" t="str">
            <v>Credit Card Limit</v>
          </cell>
          <cell r="E4" t="str">
            <v>HE Revolving Balance</v>
          </cell>
          <cell r="F4" t="str">
            <v>HE Revolving Available Credit</v>
          </cell>
          <cell r="G4" t="str">
            <v>HE Revolving Limit</v>
          </cell>
        </row>
        <row r="5">
          <cell r="A5" t="str">
            <v>03:Q1</v>
          </cell>
          <cell r="B5">
            <v>0.68799999999999994</v>
          </cell>
          <cell r="C5">
            <v>1.8619999999999999</v>
          </cell>
          <cell r="D5">
            <v>2.5499999999999998</v>
          </cell>
        </row>
        <row r="6">
          <cell r="E6">
            <v>0.24199999999999999</v>
          </cell>
          <cell r="F6">
            <v>0.24</v>
          </cell>
          <cell r="G6">
            <v>0.48199999999999998</v>
          </cell>
        </row>
        <row r="7">
          <cell r="A7" t="str">
            <v>03:Q2</v>
          </cell>
          <cell r="B7">
            <v>0.69299999999999995</v>
          </cell>
          <cell r="C7">
            <v>1.867</v>
          </cell>
          <cell r="D7">
            <v>2.56</v>
          </cell>
        </row>
        <row r="8">
          <cell r="E8">
            <v>0.26</v>
          </cell>
          <cell r="F8">
            <v>0.26</v>
          </cell>
          <cell r="G8">
            <v>0.52</v>
          </cell>
        </row>
        <row r="9">
          <cell r="A9" t="str">
            <v>03:Q3</v>
          </cell>
          <cell r="B9">
            <v>0.69299999999999995</v>
          </cell>
          <cell r="C9">
            <v>1.8569999999999998</v>
          </cell>
          <cell r="D9">
            <v>2.5499999999999998</v>
          </cell>
        </row>
        <row r="10">
          <cell r="E10">
            <v>0.26900000000000002</v>
          </cell>
          <cell r="F10">
            <v>0.28700000000000003</v>
          </cell>
          <cell r="G10">
            <v>0.55600000000000005</v>
          </cell>
        </row>
        <row r="11">
          <cell r="A11" t="str">
            <v>03:Q4</v>
          </cell>
          <cell r="B11">
            <v>0.69799999999999995</v>
          </cell>
          <cell r="C11">
            <v>1.8719999999999999</v>
          </cell>
          <cell r="D11">
            <v>2.57</v>
          </cell>
        </row>
        <row r="12">
          <cell r="E12">
            <v>0.30199999999999999</v>
          </cell>
          <cell r="F12">
            <v>0.29699999999999999</v>
          </cell>
          <cell r="G12">
            <v>0.59899999999999998</v>
          </cell>
        </row>
        <row r="13">
          <cell r="A13" t="str">
            <v>04:Q1</v>
          </cell>
          <cell r="B13">
            <v>0.69499999999999995</v>
          </cell>
          <cell r="C13">
            <v>1.875</v>
          </cell>
          <cell r="D13">
            <v>2.57</v>
          </cell>
        </row>
        <row r="14">
          <cell r="E14">
            <v>0.32800000000000001</v>
          </cell>
          <cell r="F14">
            <v>0.309</v>
          </cell>
          <cell r="G14">
            <v>0.63700000000000001</v>
          </cell>
        </row>
        <row r="15">
          <cell r="A15" t="str">
            <v>04:Q2</v>
          </cell>
          <cell r="B15">
            <v>0.69699999999999995</v>
          </cell>
          <cell r="C15">
            <v>1.903</v>
          </cell>
          <cell r="D15">
            <v>2.6</v>
          </cell>
        </row>
        <row r="16">
          <cell r="E16">
            <v>0.36699999999999999</v>
          </cell>
          <cell r="F16">
            <v>0.32599999999999996</v>
          </cell>
          <cell r="G16">
            <v>0.69299999999999995</v>
          </cell>
        </row>
        <row r="17">
          <cell r="A17" t="str">
            <v>04:Q3</v>
          </cell>
          <cell r="B17">
            <v>0.70599999999999996</v>
          </cell>
          <cell r="C17">
            <v>1.8940000000000001</v>
          </cell>
          <cell r="D17">
            <v>2.6</v>
          </cell>
        </row>
        <row r="18">
          <cell r="E18">
            <v>0.42599999999999999</v>
          </cell>
          <cell r="F18">
            <v>0.38100000000000006</v>
          </cell>
          <cell r="G18">
            <v>0.80700000000000005</v>
          </cell>
        </row>
        <row r="19">
          <cell r="A19" t="str">
            <v>04:Q4</v>
          </cell>
          <cell r="B19">
            <v>0.71699999999999997</v>
          </cell>
          <cell r="C19">
            <v>2.1429999999999998</v>
          </cell>
          <cell r="D19">
            <v>2.86</v>
          </cell>
        </row>
        <row r="20">
          <cell r="E20">
            <v>0.46800000000000003</v>
          </cell>
          <cell r="F20">
            <v>0.40499999999999997</v>
          </cell>
          <cell r="G20">
            <v>0.873</v>
          </cell>
        </row>
        <row r="21">
          <cell r="A21" t="str">
            <v>05:Q1</v>
          </cell>
          <cell r="B21">
            <v>0.71</v>
          </cell>
          <cell r="C21">
            <v>2.1800000000000002</v>
          </cell>
          <cell r="D21">
            <v>2.89</v>
          </cell>
        </row>
        <row r="22">
          <cell r="E22">
            <v>0.502</v>
          </cell>
          <cell r="F22">
            <v>0.43699999999999994</v>
          </cell>
          <cell r="G22">
            <v>0.93899999999999995</v>
          </cell>
        </row>
        <row r="23">
          <cell r="A23" t="str">
            <v>05:Q2</v>
          </cell>
          <cell r="B23">
            <v>0.71699999999999997</v>
          </cell>
          <cell r="C23">
            <v>2.2530000000000001</v>
          </cell>
          <cell r="D23">
            <v>2.97</v>
          </cell>
        </row>
        <row r="24">
          <cell r="E24">
            <v>0.52800000000000002</v>
          </cell>
          <cell r="F24">
            <v>0.46899999999999997</v>
          </cell>
          <cell r="G24">
            <v>0.997</v>
          </cell>
        </row>
        <row r="25">
          <cell r="A25" t="str">
            <v>05:Q3</v>
          </cell>
          <cell r="B25">
            <v>0.73199999999999998</v>
          </cell>
          <cell r="C25">
            <v>2.3280000000000003</v>
          </cell>
          <cell r="D25">
            <v>3.0600000000000005</v>
          </cell>
        </row>
        <row r="26">
          <cell r="E26">
            <v>0.54100000000000004</v>
          </cell>
          <cell r="F26">
            <v>0.499</v>
          </cell>
          <cell r="G26">
            <v>1.04</v>
          </cell>
        </row>
        <row r="27">
          <cell r="A27" t="str">
            <v>05:Q4</v>
          </cell>
          <cell r="B27">
            <v>0.73599999999999999</v>
          </cell>
          <cell r="C27">
            <v>2.3540000000000001</v>
          </cell>
          <cell r="D27">
            <v>3.09</v>
          </cell>
        </row>
        <row r="28">
          <cell r="E28">
            <v>0.56499999999999995</v>
          </cell>
          <cell r="F28">
            <v>0.57499999999999996</v>
          </cell>
          <cell r="G28">
            <v>1.1399999999999999</v>
          </cell>
        </row>
        <row r="29">
          <cell r="A29" t="str">
            <v>06:Q1</v>
          </cell>
          <cell r="B29">
            <v>0.72299999999999998</v>
          </cell>
          <cell r="C29">
            <v>2.3970000000000002</v>
          </cell>
          <cell r="D29">
            <v>3.12</v>
          </cell>
        </row>
        <row r="30">
          <cell r="E30">
            <v>0.58199999999999996</v>
          </cell>
          <cell r="F30">
            <v>0.58799999999999997</v>
          </cell>
          <cell r="G30">
            <v>1.17</v>
          </cell>
        </row>
        <row r="31">
          <cell r="A31" t="str">
            <v>06:Q2</v>
          </cell>
          <cell r="B31">
            <v>0.73899999999999999</v>
          </cell>
          <cell r="C31">
            <v>2.411</v>
          </cell>
          <cell r="D31">
            <v>3.15</v>
          </cell>
        </row>
        <row r="32">
          <cell r="E32">
            <v>0.59</v>
          </cell>
          <cell r="F32">
            <v>0.62</v>
          </cell>
          <cell r="G32">
            <v>1.21</v>
          </cell>
        </row>
        <row r="33">
          <cell r="A33" t="str">
            <v>06:Q3</v>
          </cell>
          <cell r="B33">
            <v>0.754</v>
          </cell>
          <cell r="C33">
            <v>2.3759999999999999</v>
          </cell>
          <cell r="D33">
            <v>3.13</v>
          </cell>
        </row>
        <row r="34">
          <cell r="E34">
            <v>0.60299999999999998</v>
          </cell>
          <cell r="F34">
            <v>0.64700000000000002</v>
          </cell>
          <cell r="G34">
            <v>1.25</v>
          </cell>
        </row>
        <row r="35">
          <cell r="A35" t="str">
            <v>06:Q4</v>
          </cell>
          <cell r="B35">
            <v>0.76700000000000002</v>
          </cell>
          <cell r="C35">
            <v>2.2930000000000001</v>
          </cell>
          <cell r="D35">
            <v>3.06</v>
          </cell>
        </row>
        <row r="36">
          <cell r="E36">
            <v>0.60399999999999998</v>
          </cell>
          <cell r="F36">
            <v>0.66600000000000004</v>
          </cell>
          <cell r="G36">
            <v>1.27</v>
          </cell>
        </row>
        <row r="37">
          <cell r="A37" t="str">
            <v>07:Q1</v>
          </cell>
          <cell r="B37">
            <v>0.76400000000000001</v>
          </cell>
          <cell r="C37">
            <v>2.2859999999999996</v>
          </cell>
          <cell r="D37">
            <v>3.05</v>
          </cell>
        </row>
        <row r="38">
          <cell r="E38">
            <v>0.60499999999999998</v>
          </cell>
          <cell r="F38">
            <v>0.67500000000000004</v>
          </cell>
          <cell r="G38">
            <v>1.28</v>
          </cell>
        </row>
        <row r="39">
          <cell r="A39" t="str">
            <v>07:Q2</v>
          </cell>
          <cell r="B39">
            <v>0.79600000000000004</v>
          </cell>
          <cell r="C39">
            <v>2.524</v>
          </cell>
          <cell r="D39">
            <v>3.3200000000000003</v>
          </cell>
        </row>
        <row r="40">
          <cell r="E40">
            <v>0.61899999999999999</v>
          </cell>
          <cell r="F40">
            <v>0.70100000000000007</v>
          </cell>
          <cell r="G40">
            <v>1.32</v>
          </cell>
        </row>
        <row r="41">
          <cell r="A41" t="str">
            <v>07:Q3</v>
          </cell>
          <cell r="B41">
            <v>0.81699999999999995</v>
          </cell>
          <cell r="C41">
            <v>2.5730000000000004</v>
          </cell>
          <cell r="D41">
            <v>3.3900000000000006</v>
          </cell>
        </row>
        <row r="42">
          <cell r="E42">
            <v>0.63100000000000001</v>
          </cell>
          <cell r="F42">
            <v>0.70900000000000007</v>
          </cell>
          <cell r="G42">
            <v>1.34</v>
          </cell>
        </row>
        <row r="43">
          <cell r="A43" t="str">
            <v>07:Q4</v>
          </cell>
          <cell r="B43">
            <v>0.83899999999999997</v>
          </cell>
          <cell r="C43">
            <v>2.621</v>
          </cell>
          <cell r="D43">
            <v>3.46</v>
          </cell>
        </row>
        <row r="44">
          <cell r="E44">
            <v>0.64700000000000002</v>
          </cell>
          <cell r="F44">
            <v>0.72300000000000009</v>
          </cell>
          <cell r="G44">
            <v>1.37</v>
          </cell>
        </row>
        <row r="45">
          <cell r="A45" t="str">
            <v>08:Q1</v>
          </cell>
          <cell r="B45">
            <v>0.83699999999999997</v>
          </cell>
          <cell r="C45">
            <v>2.5830000000000002</v>
          </cell>
          <cell r="D45">
            <v>3.42</v>
          </cell>
        </row>
        <row r="46">
          <cell r="E46">
            <v>0.66300000000000003</v>
          </cell>
          <cell r="F46">
            <v>0.71699999999999986</v>
          </cell>
          <cell r="G46">
            <v>1.38</v>
          </cell>
        </row>
        <row r="47">
          <cell r="A47" t="str">
            <v>08:Q2</v>
          </cell>
          <cell r="B47">
            <v>0.85</v>
          </cell>
          <cell r="C47">
            <v>2.82</v>
          </cell>
          <cell r="D47">
            <v>3.67</v>
          </cell>
        </row>
        <row r="48">
          <cell r="E48">
            <v>0.67900000000000005</v>
          </cell>
          <cell r="F48">
            <v>0.70099999999999985</v>
          </cell>
          <cell r="G48">
            <v>1.38</v>
          </cell>
        </row>
        <row r="49">
          <cell r="A49" t="str">
            <v>08:Q3</v>
          </cell>
          <cell r="B49">
            <v>0.85799999999999998</v>
          </cell>
          <cell r="C49">
            <v>2.8420000000000001</v>
          </cell>
          <cell r="D49">
            <v>3.7</v>
          </cell>
        </row>
        <row r="50">
          <cell r="E50">
            <v>0.69199999999999995</v>
          </cell>
          <cell r="F50">
            <v>0.68799999999999994</v>
          </cell>
          <cell r="G50">
            <v>1.38</v>
          </cell>
        </row>
        <row r="51">
          <cell r="A51" t="str">
            <v>08:Q4</v>
          </cell>
          <cell r="B51">
            <v>0.86599999999999999</v>
          </cell>
          <cell r="C51">
            <v>2.6639999999999997</v>
          </cell>
          <cell r="D51">
            <v>3.53</v>
          </cell>
        </row>
        <row r="52">
          <cell r="E52">
            <v>0.70499999999999996</v>
          </cell>
          <cell r="F52">
            <v>0.66500000000000015</v>
          </cell>
          <cell r="G52">
            <v>1.37</v>
          </cell>
        </row>
        <row r="53">
          <cell r="A53" t="str">
            <v>09:Q1</v>
          </cell>
          <cell r="B53">
            <v>0.84299999999999997</v>
          </cell>
          <cell r="C53">
            <v>2.427</v>
          </cell>
          <cell r="D53">
            <v>3.27</v>
          </cell>
        </row>
        <row r="54">
          <cell r="E54">
            <v>0.71399999999999997</v>
          </cell>
          <cell r="F54">
            <v>0.63600000000000012</v>
          </cell>
          <cell r="G54">
            <v>1.35</v>
          </cell>
        </row>
        <row r="55">
          <cell r="A55" t="str">
            <v>09:Q2</v>
          </cell>
          <cell r="B55">
            <v>0.82399999999999995</v>
          </cell>
          <cell r="C55">
            <v>2.2160000000000002</v>
          </cell>
          <cell r="D55">
            <v>3.04</v>
          </cell>
        </row>
        <row r="56">
          <cell r="E56">
            <v>0.71299999999999997</v>
          </cell>
          <cell r="F56">
            <v>0.6170000000000001</v>
          </cell>
          <cell r="G56">
            <v>1.33</v>
          </cell>
        </row>
        <row r="57">
          <cell r="A57" t="str">
            <v>09:Q3</v>
          </cell>
          <cell r="B57">
            <v>0.81200000000000006</v>
          </cell>
          <cell r="C57">
            <v>2.1180000000000003</v>
          </cell>
          <cell r="D57">
            <v>2.9300000000000006</v>
          </cell>
        </row>
        <row r="58">
          <cell r="E58">
            <v>0.70799999999999996</v>
          </cell>
          <cell r="F58">
            <v>0.59200000000000008</v>
          </cell>
          <cell r="G58">
            <v>1.3</v>
          </cell>
        </row>
        <row r="59">
          <cell r="A59" t="str">
            <v>09:Q4</v>
          </cell>
          <cell r="B59">
            <v>0.8</v>
          </cell>
          <cell r="C59">
            <v>2.0699999999999998</v>
          </cell>
          <cell r="D59">
            <v>2.87</v>
          </cell>
        </row>
        <row r="60">
          <cell r="E60">
            <v>0.71</v>
          </cell>
          <cell r="F60">
            <v>0.56999999999999995</v>
          </cell>
          <cell r="G60">
            <v>1.2799999999999998</v>
          </cell>
        </row>
        <row r="61">
          <cell r="A61" t="str">
            <v>10:Q1</v>
          </cell>
          <cell r="B61">
            <v>0.76200000000000001</v>
          </cell>
          <cell r="C61">
            <v>1.9979999999999998</v>
          </cell>
          <cell r="D61">
            <v>2.76</v>
          </cell>
        </row>
        <row r="62">
          <cell r="E62">
            <v>0.69499999999999995</v>
          </cell>
          <cell r="F62">
            <v>0.56499999999999995</v>
          </cell>
          <cell r="G62">
            <v>1.2599999999999998</v>
          </cell>
        </row>
        <row r="63">
          <cell r="A63" t="str">
            <v>10:Q2</v>
          </cell>
          <cell r="B63">
            <v>0.74399999999999999</v>
          </cell>
          <cell r="C63">
            <v>1.9536</v>
          </cell>
          <cell r="D63">
            <v>2.6976</v>
          </cell>
        </row>
        <row r="64">
          <cell r="E64">
            <v>0.68300000000000005</v>
          </cell>
          <cell r="F64">
            <v>0.55840000000000001</v>
          </cell>
          <cell r="G64">
            <v>1.2414000000000001</v>
          </cell>
        </row>
        <row r="65">
          <cell r="A65" t="str">
            <v>10:Q3</v>
          </cell>
          <cell r="B65">
            <v>0.73099999999999998</v>
          </cell>
          <cell r="C65">
            <v>1.9490000000000003</v>
          </cell>
          <cell r="D65">
            <v>2.68</v>
          </cell>
        </row>
        <row r="66">
          <cell r="E66">
            <v>0.67300000000000004</v>
          </cell>
          <cell r="F66">
            <v>0.54699999999999993</v>
          </cell>
          <cell r="G66">
            <v>1.22</v>
          </cell>
        </row>
        <row r="67">
          <cell r="A67" t="str">
            <v>10:Q4</v>
          </cell>
          <cell r="B67">
            <v>0.73</v>
          </cell>
          <cell r="C67">
            <v>1.9300000000000002</v>
          </cell>
          <cell r="D67">
            <v>2.66</v>
          </cell>
        </row>
        <row r="68">
          <cell r="E68">
            <v>0.66800000000000004</v>
          </cell>
          <cell r="F68">
            <v>0.53199999999999992</v>
          </cell>
          <cell r="G68">
            <v>1.2</v>
          </cell>
        </row>
        <row r="69">
          <cell r="A69" t="str">
            <v>11:Q1</v>
          </cell>
          <cell r="B69">
            <v>0.69599999999999995</v>
          </cell>
          <cell r="C69">
            <v>1.998</v>
          </cell>
          <cell r="D69">
            <v>2.694</v>
          </cell>
        </row>
        <row r="70">
          <cell r="E70">
            <v>0.64100000000000001</v>
          </cell>
          <cell r="F70">
            <v>0.5089999999999999</v>
          </cell>
          <cell r="G70">
            <v>1.1499999999999999</v>
          </cell>
        </row>
        <row r="71">
          <cell r="A71" t="str">
            <v>11:Q2</v>
          </cell>
          <cell r="B71">
            <v>0.69399999999999995</v>
          </cell>
          <cell r="C71">
            <v>2.0529999999999999</v>
          </cell>
          <cell r="D71">
            <v>2.7469999999999999</v>
          </cell>
        </row>
        <row r="72">
          <cell r="E72">
            <v>0.625</v>
          </cell>
          <cell r="F72">
            <v>0.49399999999999999</v>
          </cell>
          <cell r="G72">
            <v>1.119</v>
          </cell>
        </row>
        <row r="73">
          <cell r="A73" t="str">
            <v>11:Q3</v>
          </cell>
          <cell r="B73">
            <v>0.69299999999999995</v>
          </cell>
          <cell r="C73">
            <v>2.0289999999999999</v>
          </cell>
          <cell r="D73">
            <v>2.722</v>
          </cell>
        </row>
        <row r="74">
          <cell r="E74">
            <v>0.63900000000000001</v>
          </cell>
          <cell r="F74">
            <v>0.51400000000000001</v>
          </cell>
          <cell r="G74">
            <v>1.153</v>
          </cell>
        </row>
        <row r="75">
          <cell r="A75" t="str">
            <v>11:Q4</v>
          </cell>
          <cell r="B75">
            <v>0.70399999999999996</v>
          </cell>
          <cell r="C75">
            <v>2.1160000000000001</v>
          </cell>
          <cell r="D75">
            <v>2.82</v>
          </cell>
        </row>
        <row r="76">
          <cell r="E76">
            <v>0.627</v>
          </cell>
          <cell r="F76">
            <v>0.50800000000000001</v>
          </cell>
          <cell r="G76">
            <v>1.135</v>
          </cell>
        </row>
        <row r="77">
          <cell r="A77" t="str">
            <v>12:Q1</v>
          </cell>
          <cell r="B77">
            <v>0.67900000000000005</v>
          </cell>
          <cell r="C77">
            <v>2.1309999999999998</v>
          </cell>
          <cell r="D77">
            <v>2.81</v>
          </cell>
        </row>
        <row r="78">
          <cell r="E78">
            <v>0.61199999999999999</v>
          </cell>
          <cell r="F78">
            <v>0.50700000000000001</v>
          </cell>
          <cell r="G78">
            <v>1.119</v>
          </cell>
        </row>
        <row r="79">
          <cell r="A79" t="str">
            <v>12:Q2</v>
          </cell>
          <cell r="B79">
            <v>0.67200000000000004</v>
          </cell>
          <cell r="C79">
            <v>2.1190000000000002</v>
          </cell>
          <cell r="D79">
            <v>2.7909999999999999</v>
          </cell>
        </row>
        <row r="80">
          <cell r="E80">
            <v>0.58899999999999997</v>
          </cell>
          <cell r="F80">
            <v>0.49299999999999999</v>
          </cell>
          <cell r="G80">
            <v>1.0820000000000001</v>
          </cell>
        </row>
        <row r="81">
          <cell r="A81" t="str">
            <v>12:Q3</v>
          </cell>
          <cell r="B81">
            <v>0.67400000000000004</v>
          </cell>
          <cell r="C81">
            <v>2.1080000000000001</v>
          </cell>
          <cell r="D81">
            <v>2.782</v>
          </cell>
        </row>
        <row r="82">
          <cell r="E82">
            <v>0.57299999999999995</v>
          </cell>
          <cell r="F82">
            <v>0.47399999999999998</v>
          </cell>
          <cell r="G82">
            <v>1.0469999999999999</v>
          </cell>
        </row>
        <row r="83">
          <cell r="A83" t="str">
            <v>12:Q4</v>
          </cell>
          <cell r="B83">
            <v>0.67900000000000005</v>
          </cell>
          <cell r="C83">
            <v>2.0939999999999999</v>
          </cell>
          <cell r="D83">
            <v>2.7730000000000001</v>
          </cell>
        </row>
        <row r="84">
          <cell r="E84">
            <v>0.56299999999999994</v>
          </cell>
          <cell r="F84">
            <v>0.48599999999999999</v>
          </cell>
          <cell r="G84">
            <v>1.0489999999999999</v>
          </cell>
        </row>
        <row r="85">
          <cell r="A85" t="str">
            <v>13:Q1</v>
          </cell>
          <cell r="B85">
            <v>0.66</v>
          </cell>
          <cell r="C85">
            <v>2.1139999999999999</v>
          </cell>
          <cell r="D85">
            <v>2.774</v>
          </cell>
        </row>
        <row r="86">
          <cell r="E86">
            <v>0.55200000000000005</v>
          </cell>
          <cell r="F86">
            <v>0.48599999999999999</v>
          </cell>
          <cell r="G86">
            <v>1.038</v>
          </cell>
        </row>
        <row r="87">
          <cell r="A87" t="str">
            <v>13:Q2</v>
          </cell>
          <cell r="B87">
            <v>0.66800000000000004</v>
          </cell>
          <cell r="C87">
            <v>2.133</v>
          </cell>
          <cell r="D87">
            <v>2.8010000000000002</v>
          </cell>
        </row>
        <row r="88">
          <cell r="E88">
            <v>0.54</v>
          </cell>
          <cell r="F88">
            <v>0.48</v>
          </cell>
          <cell r="G88">
            <v>1.02</v>
          </cell>
        </row>
        <row r="89">
          <cell r="A89" t="str">
            <v>13:Q3</v>
          </cell>
          <cell r="B89">
            <v>0.67200000000000004</v>
          </cell>
          <cell r="C89">
            <v>2.1629999999999998</v>
          </cell>
          <cell r="D89">
            <v>2.835</v>
          </cell>
        </row>
        <row r="90">
          <cell r="E90">
            <v>0.53500000000000003</v>
          </cell>
          <cell r="F90">
            <v>0.47599999999999998</v>
          </cell>
          <cell r="G90">
            <v>1.0109999999999999</v>
          </cell>
        </row>
        <row r="91">
          <cell r="A91" t="str">
            <v>13:Q4</v>
          </cell>
          <cell r="B91">
            <v>0.68300000000000005</v>
          </cell>
          <cell r="C91">
            <v>2.222</v>
          </cell>
          <cell r="D91">
            <v>2.9049999999999998</v>
          </cell>
        </row>
        <row r="92">
          <cell r="E92">
            <v>0.52900000000000003</v>
          </cell>
          <cell r="F92">
            <v>0.47199999999999998</v>
          </cell>
          <cell r="G92">
            <v>1.0009999999999999</v>
          </cell>
        </row>
        <row r="93">
          <cell r="A93" t="str">
            <v>14:Q1</v>
          </cell>
          <cell r="B93">
            <v>0.65900000000000003</v>
          </cell>
          <cell r="C93">
            <v>2.254</v>
          </cell>
          <cell r="D93">
            <v>2.9129999999999998</v>
          </cell>
        </row>
        <row r="94">
          <cell r="E94">
            <v>0.52600000000000002</v>
          </cell>
          <cell r="F94">
            <v>0.47199999999999998</v>
          </cell>
          <cell r="G94">
            <v>0.998</v>
          </cell>
        </row>
        <row r="95">
          <cell r="A95" t="str">
            <v>14:Q2</v>
          </cell>
          <cell r="B95">
            <v>0.66900000000000004</v>
          </cell>
          <cell r="C95">
            <v>2.2719999999999998</v>
          </cell>
          <cell r="D95">
            <v>2.9409999999999998</v>
          </cell>
        </row>
        <row r="96">
          <cell r="E96">
            <v>0.52100000000000002</v>
          </cell>
          <cell r="F96">
            <v>0.47</v>
          </cell>
          <cell r="G96">
            <v>0.99099999999999999</v>
          </cell>
        </row>
        <row r="97">
          <cell r="A97" t="str">
            <v>14:Q3</v>
          </cell>
          <cell r="B97">
            <v>0.68</v>
          </cell>
          <cell r="C97">
            <v>2.286</v>
          </cell>
          <cell r="D97">
            <v>2.9660000000000002</v>
          </cell>
        </row>
        <row r="98">
          <cell r="E98">
            <v>0.51200000000000001</v>
          </cell>
          <cell r="F98">
            <v>0.47499999999999998</v>
          </cell>
          <cell r="G98">
            <v>0.98699999999999999</v>
          </cell>
        </row>
        <row r="99">
          <cell r="A99" t="str">
            <v>14:Q4</v>
          </cell>
          <cell r="B99">
            <v>0.7</v>
          </cell>
          <cell r="C99">
            <v>2.2869999999999999</v>
          </cell>
          <cell r="D99">
            <v>2.9870000000000001</v>
          </cell>
        </row>
        <row r="100">
          <cell r="E100">
            <v>0.51</v>
          </cell>
          <cell r="F100">
            <v>0.48299999999999998</v>
          </cell>
          <cell r="G100">
            <v>0.99299999999999999</v>
          </cell>
        </row>
        <row r="101">
          <cell r="A101" t="str">
            <v>15:Q1</v>
          </cell>
          <cell r="B101">
            <v>0.68400000000000005</v>
          </cell>
          <cell r="C101">
            <v>2.331</v>
          </cell>
          <cell r="D101">
            <v>3.0150000000000001</v>
          </cell>
        </row>
        <row r="102">
          <cell r="E102">
            <v>0.51</v>
          </cell>
          <cell r="F102">
            <v>0.47499999999999998</v>
          </cell>
          <cell r="G102">
            <v>0.98499999999999999</v>
          </cell>
        </row>
        <row r="103">
          <cell r="A103" t="str">
            <v>15:Q2</v>
          </cell>
          <cell r="B103">
            <v>0.70299999999999996</v>
          </cell>
          <cell r="C103">
            <v>2.36</v>
          </cell>
          <cell r="D103">
            <v>3.0630000000000002</v>
          </cell>
        </row>
        <row r="104">
          <cell r="E104">
            <v>0.499</v>
          </cell>
          <cell r="F104">
            <v>0.48099999999999998</v>
          </cell>
          <cell r="G104">
            <v>0.98</v>
          </cell>
        </row>
        <row r="105">
          <cell r="A105" t="str">
            <v>15:Q3</v>
          </cell>
          <cell r="B105">
            <v>0.71399999999999997</v>
          </cell>
          <cell r="C105">
            <v>2.3919999999999999</v>
          </cell>
          <cell r="D105">
            <v>3.1059999999999999</v>
          </cell>
        </row>
        <row r="106">
          <cell r="E106">
            <v>0.49199999999999999</v>
          </cell>
          <cell r="F106">
            <v>0.48599999999999999</v>
          </cell>
          <cell r="G106">
            <v>0.97799999999999998</v>
          </cell>
        </row>
        <row r="107">
          <cell r="A107" t="str">
            <v>15:Q4</v>
          </cell>
          <cell r="B107">
            <v>0.73299999999999998</v>
          </cell>
          <cell r="C107">
            <v>2.3929999999999998</v>
          </cell>
          <cell r="D107">
            <v>3.1259999999999999</v>
          </cell>
        </row>
        <row r="108">
          <cell r="E108">
            <v>0.48699999999999999</v>
          </cell>
          <cell r="F108">
            <v>0.48099999999999998</v>
          </cell>
          <cell r="G108">
            <v>0.96799999999999997</v>
          </cell>
        </row>
        <row r="109">
          <cell r="A109" t="str">
            <v>16:Q1</v>
          </cell>
          <cell r="B109">
            <v>0.71199999999999997</v>
          </cell>
          <cell r="C109">
            <v>2.4820000000000002</v>
          </cell>
          <cell r="D109">
            <v>3.194</v>
          </cell>
        </row>
        <row r="110">
          <cell r="E110">
            <v>0.48499999999999999</v>
          </cell>
          <cell r="F110">
            <v>0.48399999999999999</v>
          </cell>
          <cell r="G110">
            <v>0.96899999999999997</v>
          </cell>
        </row>
        <row r="111">
          <cell r="A111" t="str">
            <v>16:Q2</v>
          </cell>
          <cell r="B111">
            <v>0.72899999999999998</v>
          </cell>
          <cell r="C111">
            <v>2.4900000000000002</v>
          </cell>
          <cell r="D111">
            <v>3.2189999999999999</v>
          </cell>
        </row>
        <row r="112">
          <cell r="E112">
            <v>0.47799999999999998</v>
          </cell>
          <cell r="F112">
            <v>0.49</v>
          </cell>
          <cell r="G112">
            <v>0.96799999999999997</v>
          </cell>
        </row>
        <row r="113">
          <cell r="A113" t="str">
            <v>16:Q3</v>
          </cell>
          <cell r="B113">
            <v>0.747</v>
          </cell>
          <cell r="C113">
            <v>2.5230000000000001</v>
          </cell>
          <cell r="D113">
            <v>3.27</v>
          </cell>
        </row>
        <row r="114">
          <cell r="E114">
            <v>0.47199999999999998</v>
          </cell>
          <cell r="F114">
            <v>0.48699999999999999</v>
          </cell>
          <cell r="G114">
            <v>0.95899999999999996</v>
          </cell>
        </row>
        <row r="115">
          <cell r="A115" t="str">
            <v>16:Q4</v>
          </cell>
          <cell r="B115">
            <v>0.77900000000000003</v>
          </cell>
          <cell r="C115">
            <v>2.5670000000000002</v>
          </cell>
          <cell r="D115">
            <v>3.3460000000000001</v>
          </cell>
        </row>
        <row r="116">
          <cell r="E116">
            <v>0.47299999999999998</v>
          </cell>
          <cell r="F116">
            <v>0.48499999999999999</v>
          </cell>
          <cell r="G116">
            <v>0.95799999999999996</v>
          </cell>
        </row>
        <row r="117">
          <cell r="A117" t="str">
            <v>17:Q1</v>
          </cell>
          <cell r="B117">
            <v>0.76400000000000001</v>
          </cell>
          <cell r="C117">
            <v>2.6179999999999999</v>
          </cell>
          <cell r="D117">
            <v>3.3820000000000001</v>
          </cell>
        </row>
        <row r="118">
          <cell r="E118">
            <v>0.45600000000000002</v>
          </cell>
          <cell r="F118">
            <v>0.48299999999999998</v>
          </cell>
          <cell r="G118">
            <v>0.93899999999999995</v>
          </cell>
        </row>
        <row r="119">
          <cell r="A119" t="str">
            <v>17:Q2</v>
          </cell>
          <cell r="B119">
            <v>0.78400000000000003</v>
          </cell>
          <cell r="C119">
            <v>2.6509999999999998</v>
          </cell>
          <cell r="D119">
            <v>3.4350000000000001</v>
          </cell>
        </row>
        <row r="120">
          <cell r="E120">
            <v>0.45200000000000001</v>
          </cell>
          <cell r="F120">
            <v>0.49</v>
          </cell>
          <cell r="G120">
            <v>0.94199999999999995</v>
          </cell>
        </row>
        <row r="121">
          <cell r="A121" t="str">
            <v>17:Q3</v>
          </cell>
          <cell r="B121">
            <v>0.80800000000000005</v>
          </cell>
          <cell r="C121">
            <v>2.68</v>
          </cell>
          <cell r="D121">
            <v>3.488</v>
          </cell>
        </row>
        <row r="122">
          <cell r="E122">
            <v>0.44800000000000001</v>
          </cell>
          <cell r="F122">
            <v>0.49</v>
          </cell>
          <cell r="G122">
            <v>0.93799999999999994</v>
          </cell>
        </row>
        <row r="123">
          <cell r="A123" t="str">
            <v>17:Q4</v>
          </cell>
          <cell r="B123">
            <v>0.83399999999999996</v>
          </cell>
          <cell r="C123">
            <v>2.6890000000000001</v>
          </cell>
          <cell r="D123">
            <v>3.5230000000000001</v>
          </cell>
        </row>
        <row r="124">
          <cell r="E124">
            <v>0.44400000000000001</v>
          </cell>
          <cell r="F124">
            <v>0.49099999999999999</v>
          </cell>
          <cell r="G124">
            <v>0.93500000000000005</v>
          </cell>
        </row>
        <row r="125">
          <cell r="A125" t="str">
            <v>18:Q1</v>
          </cell>
          <cell r="B125">
            <v>0.81499999999999995</v>
          </cell>
          <cell r="C125">
            <v>2.7210000000000001</v>
          </cell>
          <cell r="D125">
            <v>3.536</v>
          </cell>
        </row>
        <row r="126">
          <cell r="E126">
            <v>0.436</v>
          </cell>
          <cell r="F126">
            <v>0.504</v>
          </cell>
          <cell r="G126">
            <v>0.94</v>
          </cell>
        </row>
        <row r="127">
          <cell r="A127" t="str">
            <v>18:Q2</v>
          </cell>
          <cell r="B127">
            <v>0.82899999999999996</v>
          </cell>
          <cell r="C127">
            <v>2.7549999999999999</v>
          </cell>
          <cell r="D127">
            <v>3.5840000000000001</v>
          </cell>
        </row>
        <row r="128">
          <cell r="E128">
            <v>0.432</v>
          </cell>
          <cell r="F128">
            <v>0.51100000000000001</v>
          </cell>
          <cell r="G128">
            <v>0.94299999999999995</v>
          </cell>
        </row>
        <row r="129">
          <cell r="A129" t="str">
            <v>18:Q3</v>
          </cell>
          <cell r="B129">
            <v>0.84399999999999997</v>
          </cell>
          <cell r="C129">
            <v>2.786</v>
          </cell>
          <cell r="D129">
            <v>3.63</v>
          </cell>
        </row>
        <row r="130">
          <cell r="E130">
            <v>0.42199999999999999</v>
          </cell>
          <cell r="F130">
            <v>0.51400000000000001</v>
          </cell>
          <cell r="G130">
            <v>0.93600000000000005</v>
          </cell>
        </row>
        <row r="131">
          <cell r="A131" t="str">
            <v>18:Q4</v>
          </cell>
          <cell r="B131">
            <v>0.87</v>
          </cell>
          <cell r="C131">
            <v>2.8159999999999998</v>
          </cell>
          <cell r="D131">
            <v>3.6859999999999999</v>
          </cell>
        </row>
        <row r="132">
          <cell r="E132">
            <v>0.41199999999999998</v>
          </cell>
          <cell r="F132">
            <v>0.52</v>
          </cell>
          <cell r="G132">
            <v>0.93200000000000005</v>
          </cell>
        </row>
        <row r="133">
          <cell r="A133" t="str">
            <v>19:Q1</v>
          </cell>
          <cell r="B133">
            <v>0.84799999999999998</v>
          </cell>
          <cell r="C133">
            <v>2.8849999999999998</v>
          </cell>
          <cell r="D133">
            <v>3.7330000000000001</v>
          </cell>
        </row>
        <row r="134">
          <cell r="E134">
            <v>0.40600000000000003</v>
          </cell>
          <cell r="F134">
            <v>0.52700000000000002</v>
          </cell>
          <cell r="G134">
            <v>0.93300000000000005</v>
          </cell>
        </row>
        <row r="135">
          <cell r="A135" t="str">
            <v>19:Q2</v>
          </cell>
          <cell r="B135">
            <v>0.86799999999999999</v>
          </cell>
          <cell r="C135">
            <v>2.9060000000000001</v>
          </cell>
          <cell r="D135">
            <v>3.774</v>
          </cell>
        </row>
        <row r="136">
          <cell r="E136">
            <v>0.39900000000000002</v>
          </cell>
          <cell r="F136">
            <v>0.53100000000000003</v>
          </cell>
          <cell r="G136">
            <v>0.93</v>
          </cell>
        </row>
        <row r="137">
          <cell r="A137" t="str">
            <v>19:Q3</v>
          </cell>
          <cell r="B137">
            <v>0.88100000000000001</v>
          </cell>
          <cell r="C137">
            <v>2.92</v>
          </cell>
          <cell r="D137">
            <v>3.8010000000000002</v>
          </cell>
        </row>
        <row r="138">
          <cell r="E138">
            <v>0.39600000000000002</v>
          </cell>
          <cell r="F138">
            <v>0.52800000000000002</v>
          </cell>
          <cell r="G138">
            <v>0.92400000000000004</v>
          </cell>
        </row>
        <row r="139">
          <cell r="A139" t="str">
            <v>19:Q4</v>
          </cell>
          <cell r="B139">
            <v>0.92700000000000005</v>
          </cell>
          <cell r="C139">
            <v>2.97</v>
          </cell>
          <cell r="D139">
            <v>3.8969999999999998</v>
          </cell>
        </row>
        <row r="140">
          <cell r="E140">
            <v>0.39</v>
          </cell>
          <cell r="F140">
            <v>0.52300000000000002</v>
          </cell>
          <cell r="G140">
            <v>0.91300000000000003</v>
          </cell>
        </row>
        <row r="141">
          <cell r="A141" t="str">
            <v>20:Q1</v>
          </cell>
          <cell r="B141">
            <v>0.89300000000000002</v>
          </cell>
          <cell r="C141">
            <v>3.0379999999999998</v>
          </cell>
          <cell r="D141">
            <v>3.931</v>
          </cell>
        </row>
        <row r="142">
          <cell r="E142">
            <v>0.38600000000000001</v>
          </cell>
          <cell r="F142">
            <v>0.52600000000000002</v>
          </cell>
          <cell r="G142">
            <v>0.91200000000000003</v>
          </cell>
        </row>
        <row r="143">
          <cell r="A143" t="str">
            <v>20:Q2</v>
          </cell>
          <cell r="B143">
            <v>0.81699999999999995</v>
          </cell>
          <cell r="C143">
            <v>3.0609999999999999</v>
          </cell>
          <cell r="D143">
            <v>3.8780000000000001</v>
          </cell>
        </row>
        <row r="144">
          <cell r="E144">
            <v>0.375</v>
          </cell>
          <cell r="F144">
            <v>0.53</v>
          </cell>
          <cell r="G144">
            <v>0.90500000000000003</v>
          </cell>
        </row>
        <row r="145">
          <cell r="A145" t="str">
            <v>20:Q3</v>
          </cell>
          <cell r="B145">
            <v>0.80700000000000005</v>
          </cell>
          <cell r="C145">
            <v>3.04</v>
          </cell>
          <cell r="D145">
            <v>3.847</v>
          </cell>
        </row>
        <row r="146">
          <cell r="E146">
            <v>0.36199999999999999</v>
          </cell>
          <cell r="F146">
            <v>0.52700000000000002</v>
          </cell>
          <cell r="G146">
            <v>0.88900000000000001</v>
          </cell>
        </row>
        <row r="147">
          <cell r="A147" t="str">
            <v>20:Q4</v>
          </cell>
          <cell r="B147">
            <v>0.81899999999999995</v>
          </cell>
          <cell r="C147">
            <v>3.0179999999999998</v>
          </cell>
          <cell r="D147">
            <v>3.8370000000000002</v>
          </cell>
        </row>
        <row r="148">
          <cell r="E148">
            <v>0.34899999999999998</v>
          </cell>
          <cell r="F148">
            <v>0.52600000000000002</v>
          </cell>
          <cell r="G148">
            <v>0.875</v>
          </cell>
        </row>
        <row r="149">
          <cell r="A149" t="str">
            <v>21:Q1</v>
          </cell>
          <cell r="B149">
            <v>0.77</v>
          </cell>
          <cell r="C149">
            <v>3.0670000000000002</v>
          </cell>
          <cell r="D149">
            <v>3.8370000000000002</v>
          </cell>
        </row>
        <row r="150">
          <cell r="E150">
            <v>0.33500000000000002</v>
          </cell>
          <cell r="F150">
            <v>0.52500000000000002</v>
          </cell>
          <cell r="G150">
            <v>0.86</v>
          </cell>
        </row>
        <row r="151">
          <cell r="A151" t="str">
            <v>21:Q2</v>
          </cell>
          <cell r="B151">
            <v>0.78700000000000003</v>
          </cell>
          <cell r="C151">
            <v>3.0859999999999999</v>
          </cell>
          <cell r="D151">
            <v>3.8730000000000002</v>
          </cell>
        </row>
        <row r="152">
          <cell r="E152">
            <v>0.32200000000000001</v>
          </cell>
          <cell r="F152">
            <v>0.52500000000000002</v>
          </cell>
          <cell r="G152">
            <v>0.84699999999999998</v>
          </cell>
        </row>
        <row r="153">
          <cell r="A153" t="str">
            <v>21:Q3</v>
          </cell>
          <cell r="B153">
            <v>0.80400000000000005</v>
          </cell>
          <cell r="C153">
            <v>3.157</v>
          </cell>
          <cell r="D153">
            <v>3.9609999999999999</v>
          </cell>
        </row>
        <row r="154">
          <cell r="E154">
            <v>0.317</v>
          </cell>
          <cell r="F154">
            <v>0.52</v>
          </cell>
          <cell r="G154">
            <v>0.83699999999999997</v>
          </cell>
        </row>
        <row r="155">
          <cell r="A155" t="str">
            <v>21:Q4</v>
          </cell>
          <cell r="B155">
            <v>0.85599999999999998</v>
          </cell>
          <cell r="C155">
            <v>3.2010000000000001</v>
          </cell>
          <cell r="D155">
            <v>4.0570000000000004</v>
          </cell>
        </row>
        <row r="156">
          <cell r="E156">
            <v>0.318</v>
          </cell>
          <cell r="F156">
            <v>0.52700000000000002</v>
          </cell>
          <cell r="G156">
            <v>0.84499999999999997</v>
          </cell>
        </row>
        <row r="157">
          <cell r="A157" t="str">
            <v>22:Q1</v>
          </cell>
          <cell r="B157">
            <v>0.84099999999999997</v>
          </cell>
          <cell r="C157">
            <v>3.28</v>
          </cell>
          <cell r="D157">
            <v>4.1210000000000004</v>
          </cell>
        </row>
        <row r="158">
          <cell r="E158">
            <v>0.317</v>
          </cell>
          <cell r="F158">
            <v>0.52200000000000002</v>
          </cell>
          <cell r="G158">
            <v>0.83899999999999997</v>
          </cell>
        </row>
        <row r="159">
          <cell r="A159" t="str">
            <v>22:Q2</v>
          </cell>
          <cell r="B159">
            <v>0.88700000000000001</v>
          </cell>
          <cell r="C159">
            <v>3.3340000000000001</v>
          </cell>
          <cell r="D159">
            <v>4.2210000000000001</v>
          </cell>
        </row>
        <row r="160">
          <cell r="E160">
            <v>0.31900000000000001</v>
          </cell>
          <cell r="F160">
            <v>0.53800000000000003</v>
          </cell>
          <cell r="G160">
            <v>0.85699999999999998</v>
          </cell>
        </row>
        <row r="161">
          <cell r="A161" t="str">
            <v>22:Q3</v>
          </cell>
          <cell r="B161">
            <v>0.92500000000000004</v>
          </cell>
          <cell r="C161">
            <v>3.3780000000000001</v>
          </cell>
          <cell r="D161">
            <v>4.3029999999999999</v>
          </cell>
        </row>
        <row r="162">
          <cell r="E162">
            <v>0.32200000000000001</v>
          </cell>
          <cell r="F162">
            <v>0.53600000000000003</v>
          </cell>
          <cell r="G162">
            <v>0.85799999999999998</v>
          </cell>
        </row>
        <row r="163">
          <cell r="A163" t="str">
            <v>22:Q4</v>
          </cell>
          <cell r="B163">
            <v>0.98599999999999999</v>
          </cell>
          <cell r="C163">
            <v>3.4049999999999998</v>
          </cell>
          <cell r="D163">
            <v>4.391</v>
          </cell>
        </row>
        <row r="164">
          <cell r="E164">
            <v>0.33600000000000002</v>
          </cell>
          <cell r="F164">
            <v>0.55400000000000005</v>
          </cell>
          <cell r="G164">
            <v>0.89</v>
          </cell>
        </row>
        <row r="165">
          <cell r="A165" t="str">
            <v>23:Q1</v>
          </cell>
          <cell r="B165">
            <v>0.98599999999999999</v>
          </cell>
          <cell r="C165">
            <v>3.524</v>
          </cell>
          <cell r="D165">
            <v>4.51</v>
          </cell>
        </row>
        <row r="166">
          <cell r="E166">
            <v>0.33900000000000002</v>
          </cell>
          <cell r="F166">
            <v>0.56000000000000005</v>
          </cell>
          <cell r="G166">
            <v>0.89900000000000002</v>
          </cell>
        </row>
        <row r="167">
          <cell r="A167" t="str">
            <v>23:Q2</v>
          </cell>
          <cell r="B167">
            <v>1.0309999999999999</v>
          </cell>
          <cell r="C167">
            <v>3.569</v>
          </cell>
          <cell r="D167">
            <v>4.5999999999999996</v>
          </cell>
        </row>
        <row r="168">
          <cell r="E168">
            <v>0.34</v>
          </cell>
          <cell r="F168">
            <v>0.56499999999999995</v>
          </cell>
          <cell r="G168">
            <v>0.90500000000000003</v>
          </cell>
        </row>
        <row r="169">
          <cell r="A169" t="str">
            <v>23:Q3</v>
          </cell>
          <cell r="B169">
            <v>1.079</v>
          </cell>
          <cell r="C169">
            <v>3.6339999999999999</v>
          </cell>
          <cell r="D169">
            <v>4.7130000000000001</v>
          </cell>
        </row>
        <row r="170">
          <cell r="E170">
            <v>0.34899999999999998</v>
          </cell>
          <cell r="F170">
            <v>0.55700000000000005</v>
          </cell>
          <cell r="G170">
            <v>0.90600000000000003</v>
          </cell>
        </row>
        <row r="171">
          <cell r="A171" t="str">
            <v>23:Q4</v>
          </cell>
          <cell r="B171">
            <v>1.129</v>
          </cell>
          <cell r="C171">
            <v>3.6579999999999999</v>
          </cell>
          <cell r="D171">
            <v>4.7869999999999999</v>
          </cell>
        </row>
        <row r="172">
          <cell r="E172">
            <v>0.36</v>
          </cell>
          <cell r="F172">
            <v>0.56999999999999995</v>
          </cell>
          <cell r="G172">
            <v>0.93</v>
          </cell>
        </row>
        <row r="173">
          <cell r="A173" t="str">
            <v>24:Q1</v>
          </cell>
          <cell r="B173">
            <v>1.115</v>
          </cell>
          <cell r="C173">
            <v>3.7349999999999999</v>
          </cell>
          <cell r="D173">
            <v>4.8499999999999996</v>
          </cell>
        </row>
        <row r="174">
          <cell r="E174">
            <v>0.376</v>
          </cell>
          <cell r="F174">
            <v>0.58399999999999996</v>
          </cell>
          <cell r="G174">
            <v>0.96</v>
          </cell>
        </row>
        <row r="175">
          <cell r="A175" t="str">
            <v>24:Q2</v>
          </cell>
          <cell r="B175">
            <v>1.1419999999999999</v>
          </cell>
          <cell r="C175">
            <v>3.7770000000000001</v>
          </cell>
          <cell r="D175">
            <v>4.9189999999999996</v>
          </cell>
        </row>
        <row r="176">
          <cell r="E176">
            <v>0.38</v>
          </cell>
          <cell r="F176">
            <v>0.58299999999999996</v>
          </cell>
          <cell r="G176">
            <v>0.96299999999999997</v>
          </cell>
        </row>
        <row r="177">
          <cell r="A177" t="str">
            <v>24:Q3</v>
          </cell>
          <cell r="B177">
            <v>1.1659999999999999</v>
          </cell>
          <cell r="C177">
            <v>3.8159999999999998</v>
          </cell>
          <cell r="D177">
            <v>4.9820000000000002</v>
          </cell>
        </row>
        <row r="178">
          <cell r="E178">
            <v>0.38700000000000001</v>
          </cell>
          <cell r="F178">
            <v>0.58499999999999996</v>
          </cell>
          <cell r="G178">
            <v>0.97199999999999998</v>
          </cell>
        </row>
        <row r="179">
          <cell r="A179" t="str">
            <v>24:Q4</v>
          </cell>
          <cell r="B179">
            <v>1.2110000000000001</v>
          </cell>
          <cell r="C179">
            <v>3.8690000000000002</v>
          </cell>
          <cell r="D179">
            <v>5.08</v>
          </cell>
        </row>
        <row r="180">
          <cell r="E180">
            <v>0.39600000000000002</v>
          </cell>
          <cell r="F180">
            <v>0.58399999999999996</v>
          </cell>
          <cell r="G180">
            <v>0.98</v>
          </cell>
        </row>
        <row r="181">
          <cell r="A181" t="str">
            <v>25:Q1</v>
          </cell>
          <cell r="B181">
            <v>1.1819999999999999</v>
          </cell>
          <cell r="C181">
            <v>3.9750000000000001</v>
          </cell>
          <cell r="D181">
            <v>5.157</v>
          </cell>
        </row>
        <row r="182">
          <cell r="E182">
            <v>0.40200000000000002</v>
          </cell>
          <cell r="F182">
            <v>0.58099999999999996</v>
          </cell>
          <cell r="G182">
            <v>0.98299999999999998</v>
          </cell>
        </row>
        <row r="183">
          <cell r="A183" t="str">
            <v>25:Q2</v>
          </cell>
          <cell r="B183">
            <v>1.2090000000000001</v>
          </cell>
          <cell r="C183">
            <v>4.0259999999999998</v>
          </cell>
          <cell r="D183">
            <v>5.2350000000000003</v>
          </cell>
        </row>
        <row r="184">
          <cell r="E184">
            <v>0.41099999999999998</v>
          </cell>
          <cell r="F184">
            <v>0.59</v>
          </cell>
          <cell r="G184">
            <v>1.0009999999999999</v>
          </cell>
        </row>
        <row r="185">
          <cell r="A185" t="str">
            <v>25:Q3</v>
          </cell>
          <cell r="B185">
            <v>1.2330000000000001</v>
          </cell>
          <cell r="C185">
            <v>4.0960000000000001</v>
          </cell>
          <cell r="D185">
            <v>5.3289999999999997</v>
          </cell>
        </row>
        <row r="186">
          <cell r="E186">
            <v>0.42199999999999999</v>
          </cell>
          <cell r="F186">
            <v>0.58699999999999997</v>
          </cell>
          <cell r="G186">
            <v>1.0089999999999999</v>
          </cell>
        </row>
        <row r="187">
          <cell r="A187" t="str">
            <v>25:Q4</v>
          </cell>
          <cell r="B187">
            <v>1.2769999999999999</v>
          </cell>
          <cell r="C187">
            <v>4.1470000000000002</v>
          </cell>
          <cell r="D187">
            <v>5.4240000000000004</v>
          </cell>
        </row>
        <row r="188">
          <cell r="E188">
            <v>0.434</v>
          </cell>
          <cell r="F188">
            <v>0.6</v>
          </cell>
          <cell r="G188">
            <v>1.034</v>
          </cell>
        </row>
        <row r="189">
          <cell r="A189" t="str">
            <v>26:Q1</v>
          </cell>
          <cell r="B189">
            <v>1.252</v>
          </cell>
          <cell r="C189">
            <v>4.2320000000000002</v>
          </cell>
          <cell r="D189">
            <v>5.484</v>
          </cell>
        </row>
        <row r="190">
          <cell r="E190">
            <v>0.44600000000000001</v>
          </cell>
          <cell r="F190">
            <v>0.60199999999999998</v>
          </cell>
          <cell r="G190">
            <v>1.048</v>
          </cell>
        </row>
      </sheetData>
      <sheetData sheetId="17" refreshError="1"/>
      <sheetData sheetId="18">
        <row r="1">
          <cell r="A1" t="str">
            <v>Total Balance by Delinquency Status</v>
          </cell>
        </row>
        <row r="2">
          <cell r="A2" t="str">
            <v>Percent</v>
          </cell>
        </row>
        <row r="3">
          <cell r="A3" t="str">
            <v>Return to Table of Contents</v>
          </cell>
        </row>
        <row r="4">
          <cell r="B4" t="str">
            <v>Current</v>
          </cell>
          <cell r="C4" t="str">
            <v>30 days late</v>
          </cell>
          <cell r="D4" t="str">
            <v>60 days late</v>
          </cell>
          <cell r="E4" t="str">
            <v>90 days late</v>
          </cell>
          <cell r="F4" t="str">
            <v>120+ days late</v>
          </cell>
          <cell r="G4" t="str">
            <v>Severely Derogatory</v>
          </cell>
        </row>
        <row r="5">
          <cell r="A5" t="str">
            <v>03:Q1</v>
          </cell>
          <cell r="B5">
            <v>95.078607877812516</v>
          </cell>
          <cell r="C5">
            <v>1.8003329308035882</v>
          </cell>
          <cell r="D5">
            <v>0.55215861263305743</v>
          </cell>
          <cell r="E5">
            <v>0.28420213488691631</v>
          </cell>
          <cell r="F5">
            <v>0.80702446716354859</v>
          </cell>
          <cell r="G5">
            <v>1.4776739767003788</v>
          </cell>
        </row>
        <row r="6">
          <cell r="A6" t="str">
            <v>03:Q2</v>
          </cell>
          <cell r="B6">
            <v>95.34128020193171</v>
          </cell>
          <cell r="C6">
            <v>1.6329657527117225</v>
          </cell>
          <cell r="D6">
            <v>0.53227448573770564</v>
          </cell>
          <cell r="E6">
            <v>0.25988244503909824</v>
          </cell>
          <cell r="F6">
            <v>0.79570786692284012</v>
          </cell>
          <cell r="G6">
            <v>1.4378892476569243</v>
          </cell>
        </row>
        <row r="7">
          <cell r="A7" t="str">
            <v>03:Q3</v>
          </cell>
          <cell r="B7">
            <v>95.440099586673966</v>
          </cell>
          <cell r="C7">
            <v>1.6391223066558678</v>
          </cell>
          <cell r="D7">
            <v>0.52558161501653433</v>
          </cell>
          <cell r="E7">
            <v>0.25767051677643715</v>
          </cell>
          <cell r="F7">
            <v>0.79659270816283634</v>
          </cell>
          <cell r="G7">
            <v>1.3409332667143545</v>
          </cell>
        </row>
        <row r="8">
          <cell r="A8" t="str">
            <v>03:Q4</v>
          </cell>
          <cell r="B8">
            <v>95.532866012161904</v>
          </cell>
          <cell r="C8">
            <v>1.6012634048123893</v>
          </cell>
          <cell r="D8">
            <v>0.51090000456998286</v>
          </cell>
          <cell r="E8">
            <v>0.26675397819608226</v>
          </cell>
          <cell r="F8">
            <v>0.7252660724514377</v>
          </cell>
          <cell r="G8">
            <v>1.3629505278081964</v>
          </cell>
        </row>
        <row r="9">
          <cell r="A9" t="str">
            <v>04:Q1</v>
          </cell>
          <cell r="B9">
            <v>95.719483239383749</v>
          </cell>
          <cell r="C9">
            <v>1.4996885410387204</v>
          </cell>
          <cell r="D9">
            <v>0.46786452928407224</v>
          </cell>
          <cell r="E9">
            <v>0.23495243218324596</v>
          </cell>
          <cell r="F9">
            <v>0.73439989978453579</v>
          </cell>
          <cell r="G9">
            <v>1.3436113583256755</v>
          </cell>
        </row>
        <row r="10">
          <cell r="A10" t="str">
            <v>04:Q2</v>
          </cell>
          <cell r="B10">
            <v>95.740432539100425</v>
          </cell>
          <cell r="C10">
            <v>1.5341013622007835</v>
          </cell>
          <cell r="D10">
            <v>0.50532136922716586</v>
          </cell>
          <cell r="E10">
            <v>0.2162773567791472</v>
          </cell>
          <cell r="F10">
            <v>0.6989242008247093</v>
          </cell>
          <cell r="G10">
            <v>1.3049431718677675</v>
          </cell>
        </row>
        <row r="11">
          <cell r="A11" t="str">
            <v>04:Q3</v>
          </cell>
          <cell r="B11">
            <v>95.722403465912848</v>
          </cell>
          <cell r="C11">
            <v>1.5378361332958976</v>
          </cell>
          <cell r="D11">
            <v>0.49472272152056757</v>
          </cell>
          <cell r="E11">
            <v>0.23598809895537923</v>
          </cell>
          <cell r="F11">
            <v>0.71514979560486158</v>
          </cell>
          <cell r="G11">
            <v>1.2938997847104441</v>
          </cell>
        </row>
        <row r="12">
          <cell r="A12" t="str">
            <v>04:Q4</v>
          </cell>
          <cell r="B12">
            <v>95.744158116750455</v>
          </cell>
          <cell r="C12">
            <v>1.4743542354566577</v>
          </cell>
          <cell r="D12">
            <v>0.51871655860210031</v>
          </cell>
          <cell r="E12">
            <v>0.24233185730430737</v>
          </cell>
          <cell r="F12">
            <v>0.70086662661925314</v>
          </cell>
          <cell r="G12">
            <v>1.3195726052672236</v>
          </cell>
        </row>
        <row r="13">
          <cell r="A13" t="str">
            <v>05:Q1</v>
          </cell>
          <cell r="B13">
            <v>95.883176270125531</v>
          </cell>
          <cell r="C13">
            <v>1.4825520742775673</v>
          </cell>
          <cell r="D13">
            <v>0.42770021212226589</v>
          </cell>
          <cell r="E13">
            <v>0.22053326146677329</v>
          </cell>
          <cell r="F13">
            <v>0.67201029314601668</v>
          </cell>
          <cell r="G13">
            <v>1.3140278888618424</v>
          </cell>
        </row>
        <row r="14">
          <cell r="A14" t="str">
            <v>05:Q2</v>
          </cell>
          <cell r="B14">
            <v>96.165676241041837</v>
          </cell>
          <cell r="C14">
            <v>1.4101123935088375</v>
          </cell>
          <cell r="D14">
            <v>0.40356228104971381</v>
          </cell>
          <cell r="E14">
            <v>0.21083217662744616</v>
          </cell>
          <cell r="F14">
            <v>0.63019684938074827</v>
          </cell>
          <cell r="G14">
            <v>1.1796200583914196</v>
          </cell>
        </row>
        <row r="15">
          <cell r="A15" t="str">
            <v>05:Q3</v>
          </cell>
          <cell r="B15">
            <v>95.99842986545687</v>
          </cell>
          <cell r="C15">
            <v>1.5010487049946615</v>
          </cell>
          <cell r="D15">
            <v>0.47792257889284256</v>
          </cell>
          <cell r="E15">
            <v>0.22945148554889996</v>
          </cell>
          <cell r="F15">
            <v>0.65715248856595543</v>
          </cell>
          <cell r="G15">
            <v>1.1359948765407721</v>
          </cell>
        </row>
        <row r="16">
          <cell r="A16" t="str">
            <v>05:Q4</v>
          </cell>
          <cell r="B16">
            <v>96.127040709104122</v>
          </cell>
          <cell r="C16">
            <v>1.4284567128001129</v>
          </cell>
          <cell r="D16">
            <v>0.47175734957444804</v>
          </cell>
          <cell r="E16">
            <v>0.24280480212429531</v>
          </cell>
          <cell r="F16">
            <v>0.64447014340176323</v>
          </cell>
          <cell r="G16">
            <v>1.0854702829952574</v>
          </cell>
        </row>
        <row r="17">
          <cell r="A17" t="str">
            <v>06:Q1</v>
          </cell>
          <cell r="B17">
            <v>96.193277838242778</v>
          </cell>
          <cell r="C17">
            <v>1.4040073108935913</v>
          </cell>
          <cell r="D17">
            <v>0.45001050445678903</v>
          </cell>
          <cell r="E17">
            <v>0.20237307166153731</v>
          </cell>
          <cell r="F17">
            <v>0.63879365819004941</v>
          </cell>
          <cell r="G17">
            <v>1.1115376165552475</v>
          </cell>
        </row>
        <row r="18">
          <cell r="A18" t="str">
            <v>06:Q2</v>
          </cell>
          <cell r="B18">
            <v>96.04307466728072</v>
          </cell>
          <cell r="C18">
            <v>1.5076127962184278</v>
          </cell>
          <cell r="D18">
            <v>0.53540569387029657</v>
          </cell>
          <cell r="E18">
            <v>0.21112532030146616</v>
          </cell>
          <cell r="F18">
            <v>0.61148789687349725</v>
          </cell>
          <cell r="G18">
            <v>1.0912936254556007</v>
          </cell>
        </row>
        <row r="19">
          <cell r="A19" t="str">
            <v>06:Q3</v>
          </cell>
          <cell r="B19">
            <v>95.672476130839598</v>
          </cell>
          <cell r="C19">
            <v>1.5853176475200348</v>
          </cell>
          <cell r="D19">
            <v>0.63165201291527984</v>
          </cell>
          <cell r="E19">
            <v>0.31385775208559746</v>
          </cell>
          <cell r="F19">
            <v>0.70253619439629611</v>
          </cell>
          <cell r="G19">
            <v>1.0941602622431863</v>
          </cell>
        </row>
        <row r="20">
          <cell r="A20" t="str">
            <v>06:Q4</v>
          </cell>
          <cell r="B20">
            <v>95.303010867786327</v>
          </cell>
          <cell r="C20">
            <v>1.7686935213485431</v>
          </cell>
          <cell r="D20">
            <v>0.59645879131815582</v>
          </cell>
          <cell r="E20">
            <v>0.3464687435034346</v>
          </cell>
          <cell r="F20">
            <v>0.71947664775014264</v>
          </cell>
          <cell r="G20">
            <v>1.2658914282933993</v>
          </cell>
        </row>
        <row r="21">
          <cell r="A21" t="str">
            <v>07:Q1</v>
          </cell>
          <cell r="B21">
            <v>95.076941272518042</v>
          </cell>
          <cell r="C21">
            <v>1.7734260262675654</v>
          </cell>
          <cell r="D21">
            <v>0.64228842380236517</v>
          </cell>
          <cell r="E21">
            <v>0.37058652060007652</v>
          </cell>
          <cell r="F21">
            <v>0.7715508415774196</v>
          </cell>
          <cell r="G21">
            <v>1.3652069152345279</v>
          </cell>
        </row>
        <row r="22">
          <cell r="A22" t="str">
            <v>07:Q2</v>
          </cell>
          <cell r="B22">
            <v>94.723365791083694</v>
          </cell>
          <cell r="C22">
            <v>1.8560560185661785</v>
          </cell>
          <cell r="D22">
            <v>0.76177125884504282</v>
          </cell>
          <cell r="E22">
            <v>0.40516673979584017</v>
          </cell>
          <cell r="F22">
            <v>0.86445484112664184</v>
          </cell>
          <cell r="G22">
            <v>1.3891853505826093</v>
          </cell>
        </row>
        <row r="23">
          <cell r="A23" t="str">
            <v>07:Q3</v>
          </cell>
          <cell r="B23">
            <v>94.10722928902095</v>
          </cell>
          <cell r="C23">
            <v>1.9021391307720652</v>
          </cell>
          <cell r="D23">
            <v>0.93152726617015902</v>
          </cell>
          <cell r="E23">
            <v>0.44119546384282643</v>
          </cell>
          <cell r="F23">
            <v>0.97531588088275412</v>
          </cell>
          <cell r="G23">
            <v>1.6425929693112455</v>
          </cell>
        </row>
        <row r="24">
          <cell r="A24" t="str">
            <v>07:Q4</v>
          </cell>
          <cell r="B24">
            <v>93.276476557839587</v>
          </cell>
          <cell r="C24">
            <v>2.1063714206576742</v>
          </cell>
          <cell r="D24">
            <v>0.99751481932983799</v>
          </cell>
          <cell r="E24">
            <v>0.61686862576467649</v>
          </cell>
          <cell r="F24">
            <v>1.2150847063762205</v>
          </cell>
          <cell r="G24">
            <v>1.7876838700320097</v>
          </cell>
        </row>
        <row r="25">
          <cell r="A25" t="str">
            <v>08:Q1</v>
          </cell>
          <cell r="B25">
            <v>92.577269050191305</v>
          </cell>
          <cell r="C25">
            <v>2.0641545068001559</v>
          </cell>
          <cell r="D25">
            <v>0.94491702408945788</v>
          </cell>
          <cell r="E25">
            <v>0.6781902137057918</v>
          </cell>
          <cell r="F25">
            <v>1.5971980937994235</v>
          </cell>
          <cell r="G25">
            <v>2.1382711114138639</v>
          </cell>
        </row>
        <row r="26">
          <cell r="A26" t="str">
            <v>08:Q2</v>
          </cell>
          <cell r="B26">
            <v>92.284020897893569</v>
          </cell>
          <cell r="C26">
            <v>2.050998402731036</v>
          </cell>
          <cell r="D26">
            <v>1.0192734240640744</v>
          </cell>
          <cell r="E26">
            <v>0.5436532724566655</v>
          </cell>
          <cell r="F26">
            <v>1.6147936098818791</v>
          </cell>
          <cell r="G26">
            <v>2.4872603929727792</v>
          </cell>
        </row>
        <row r="27">
          <cell r="A27" t="str">
            <v>08:Q3</v>
          </cell>
          <cell r="B27">
            <v>91.494132875218668</v>
          </cell>
          <cell r="C27">
            <v>2.2909130820356012</v>
          </cell>
          <cell r="D27">
            <v>1.1001041694076028</v>
          </cell>
          <cell r="E27">
            <v>0.66491262546969276</v>
          </cell>
          <cell r="F27">
            <v>1.8538409100912048</v>
          </cell>
          <cell r="G27">
            <v>2.5960963377772259</v>
          </cell>
        </row>
        <row r="28">
          <cell r="A28" t="str">
            <v>08:Q4</v>
          </cell>
          <cell r="B28">
            <v>90.234332634278985</v>
          </cell>
          <cell r="C28">
            <v>2.4611747572945908</v>
          </cell>
          <cell r="D28">
            <v>1.4094414440147358</v>
          </cell>
          <cell r="E28">
            <v>0.82132895948436435</v>
          </cell>
          <cell r="F28">
            <v>2.2617827284099992</v>
          </cell>
          <cell r="G28">
            <v>2.8119394765173271</v>
          </cell>
        </row>
        <row r="29">
          <cell r="A29" t="str">
            <v>09:Q1</v>
          </cell>
          <cell r="B29">
            <v>89.338557257268988</v>
          </cell>
          <cell r="C29">
            <v>2.3034679949984658</v>
          </cell>
          <cell r="D29">
            <v>1.2963872279549107</v>
          </cell>
          <cell r="E29">
            <v>0.882010461427709</v>
          </cell>
          <cell r="F29">
            <v>2.8997746465867196</v>
          </cell>
          <cell r="G29">
            <v>3.2798024117632072</v>
          </cell>
        </row>
        <row r="30">
          <cell r="A30" t="str">
            <v>09:Q2</v>
          </cell>
          <cell r="B30">
            <v>88.852546953316562</v>
          </cell>
          <cell r="C30">
            <v>2.1428273245936151</v>
          </cell>
          <cell r="D30">
            <v>1.1984786539834364</v>
          </cell>
          <cell r="E30">
            <v>0.91410209371859241</v>
          </cell>
          <cell r="F30">
            <v>3.2390333688453059</v>
          </cell>
          <cell r="G30">
            <v>3.6530116055424879</v>
          </cell>
        </row>
        <row r="31">
          <cell r="A31" t="str">
            <v>09:Q3</v>
          </cell>
          <cell r="B31">
            <v>88.501913436933748</v>
          </cell>
          <cell r="C31">
            <v>2.2021349343995364</v>
          </cell>
          <cell r="D31">
            <v>1.2645822427929709</v>
          </cell>
          <cell r="E31">
            <v>0.77970729835495733</v>
          </cell>
          <cell r="F31">
            <v>3.6038509707817981</v>
          </cell>
          <cell r="G31">
            <v>3.6478111167369875</v>
          </cell>
        </row>
        <row r="32">
          <cell r="A32" t="str">
            <v>09:Q4</v>
          </cell>
          <cell r="B32">
            <v>88.099595992172482</v>
          </cell>
          <cell r="C32">
            <v>2.1273878349074593</v>
          </cell>
          <cell r="D32">
            <v>1.2172228246006496</v>
          </cell>
          <cell r="E32">
            <v>0.89478946001907855</v>
          </cell>
          <cell r="F32">
            <v>3.9293347619026822</v>
          </cell>
          <cell r="G32">
            <v>3.7316691263976529</v>
          </cell>
        </row>
        <row r="33">
          <cell r="A33" t="str">
            <v>10:Q1</v>
          </cell>
          <cell r="B33">
            <v>88.192566438670241</v>
          </cell>
          <cell r="C33">
            <v>2.0354173049221158</v>
          </cell>
          <cell r="D33">
            <v>1.0416907907927118</v>
          </cell>
          <cell r="E33">
            <v>0.74382262464756721</v>
          </cell>
          <cell r="F33">
            <v>4.3019795789135182</v>
          </cell>
          <cell r="G33">
            <v>3.6845232620538475</v>
          </cell>
        </row>
        <row r="34">
          <cell r="A34" t="str">
            <v>10:Q2</v>
          </cell>
          <cell r="B34">
            <v>88.745046501205962</v>
          </cell>
          <cell r="C34">
            <v>1.9734688842228232</v>
          </cell>
          <cell r="D34">
            <v>0.91208158565671515</v>
          </cell>
          <cell r="E34">
            <v>0.6884209395576637</v>
          </cell>
          <cell r="F34">
            <v>3.9833599366220702</v>
          </cell>
          <cell r="G34">
            <v>3.6976221527347675</v>
          </cell>
        </row>
        <row r="35">
          <cell r="A35" t="str">
            <v>10:Q3</v>
          </cell>
          <cell r="B35">
            <v>89.01637749036432</v>
          </cell>
          <cell r="C35">
            <v>2.0246318132009935</v>
          </cell>
          <cell r="D35">
            <v>0.98891949179433158</v>
          </cell>
          <cell r="E35">
            <v>0.6716674916758687</v>
          </cell>
          <cell r="F35">
            <v>3.5878169410351117</v>
          </cell>
          <cell r="G35">
            <v>3.7105867719293792</v>
          </cell>
        </row>
        <row r="36">
          <cell r="A36" t="str">
            <v>10:Q4</v>
          </cell>
          <cell r="B36">
            <v>89.319158998115796</v>
          </cell>
          <cell r="C36">
            <v>1.844508668887793</v>
          </cell>
          <cell r="D36">
            <v>0.98409396680189054</v>
          </cell>
          <cell r="E36">
            <v>0.60940193476064275</v>
          </cell>
          <cell r="F36">
            <v>3.4930064134014511</v>
          </cell>
          <cell r="G36">
            <v>3.7498300180324233</v>
          </cell>
        </row>
        <row r="37">
          <cell r="A37" t="str">
            <v>11:Q1</v>
          </cell>
          <cell r="B37">
            <v>89.617228556593147</v>
          </cell>
          <cell r="C37">
            <v>1.7764151965892034</v>
          </cell>
          <cell r="D37">
            <v>0.89620639557565873</v>
          </cell>
          <cell r="E37">
            <v>0.58252221862077369</v>
          </cell>
          <cell r="F37">
            <v>3.3414165528884654</v>
          </cell>
          <cell r="G37">
            <v>3.7862110797327446</v>
          </cell>
        </row>
        <row r="38">
          <cell r="A38" t="str">
            <v>11:Q2</v>
          </cell>
          <cell r="B38">
            <v>90.236872752496836</v>
          </cell>
          <cell r="C38">
            <v>1.6465522060038942</v>
          </cell>
          <cell r="D38">
            <v>0.86095920020553485</v>
          </cell>
          <cell r="E38">
            <v>0.49180330671101002</v>
          </cell>
          <cell r="F38">
            <v>3.3221637294249353</v>
          </cell>
          <cell r="G38">
            <v>3.4416488051577896</v>
          </cell>
        </row>
        <row r="39">
          <cell r="A39" t="str">
            <v>11:Q3</v>
          </cell>
          <cell r="B39">
            <v>90.017858106971886</v>
          </cell>
          <cell r="C39">
            <v>1.9484611525133231</v>
          </cell>
          <cell r="D39">
            <v>0.87805798159029647</v>
          </cell>
          <cell r="E39">
            <v>0.57609847303384587</v>
          </cell>
          <cell r="F39">
            <v>3.1866387108599508</v>
          </cell>
          <cell r="G39">
            <v>3.3928855750307005</v>
          </cell>
        </row>
        <row r="40">
          <cell r="A40" t="str">
            <v>11:Q4</v>
          </cell>
          <cell r="B40">
            <v>90.252412629740348</v>
          </cell>
          <cell r="C40">
            <v>1.7393045702115411</v>
          </cell>
          <cell r="D40">
            <v>0.84342086873444633</v>
          </cell>
          <cell r="E40">
            <v>0.53086893609269059</v>
          </cell>
          <cell r="F40">
            <v>3.3264704021316116</v>
          </cell>
          <cell r="G40">
            <v>3.3075225930893688</v>
          </cell>
        </row>
        <row r="41">
          <cell r="A41" t="str">
            <v>12:Q1</v>
          </cell>
          <cell r="B41">
            <v>90.749572261034956</v>
          </cell>
          <cell r="C41">
            <v>1.5298303817189429</v>
          </cell>
          <cell r="D41">
            <v>0.74239615357132993</v>
          </cell>
          <cell r="E41">
            <v>0.50466841517617411</v>
          </cell>
          <cell r="F41">
            <v>3.185060720740704</v>
          </cell>
          <cell r="G41">
            <v>3.2884720677578851</v>
          </cell>
        </row>
        <row r="42">
          <cell r="A42" t="str">
            <v>12:Q2</v>
          </cell>
          <cell r="B42">
            <v>91.01</v>
          </cell>
          <cell r="C42">
            <v>1.57</v>
          </cell>
          <cell r="D42">
            <v>0.7</v>
          </cell>
          <cell r="E42">
            <v>0.4</v>
          </cell>
          <cell r="F42">
            <v>3.39</v>
          </cell>
          <cell r="G42">
            <v>2.93</v>
          </cell>
        </row>
        <row r="43">
          <cell r="A43" t="str">
            <v>12:Q3</v>
          </cell>
          <cell r="B43">
            <v>91.06</v>
          </cell>
          <cell r="C43">
            <v>1.71</v>
          </cell>
          <cell r="D43">
            <v>0.69</v>
          </cell>
          <cell r="E43">
            <v>0.42</v>
          </cell>
          <cell r="F43">
            <v>3.11</v>
          </cell>
          <cell r="G43">
            <v>3.01</v>
          </cell>
        </row>
        <row r="44">
          <cell r="A44" t="str">
            <v>12:Q4</v>
          </cell>
          <cell r="B44">
            <v>91.37</v>
          </cell>
          <cell r="C44">
            <v>1.62</v>
          </cell>
          <cell r="D44">
            <v>0.72</v>
          </cell>
          <cell r="E44">
            <v>0.43</v>
          </cell>
          <cell r="F44">
            <v>3.03</v>
          </cell>
          <cell r="G44">
            <v>2.82</v>
          </cell>
        </row>
        <row r="45">
          <cell r="A45" t="str">
            <v>13:Q1</v>
          </cell>
          <cell r="B45">
            <v>91.92</v>
          </cell>
          <cell r="C45">
            <v>1.42</v>
          </cell>
          <cell r="D45">
            <v>0.63</v>
          </cell>
          <cell r="E45">
            <v>0.4</v>
          </cell>
          <cell r="F45">
            <v>2.9</v>
          </cell>
          <cell r="G45">
            <v>2.74</v>
          </cell>
        </row>
        <row r="46">
          <cell r="A46" t="str">
            <v>13:Q2</v>
          </cell>
          <cell r="B46">
            <v>92.42</v>
          </cell>
          <cell r="C46">
            <v>1.31</v>
          </cell>
          <cell r="D46">
            <v>0.57999999999999996</v>
          </cell>
          <cell r="E46">
            <v>0.31</v>
          </cell>
          <cell r="F46">
            <v>2.71</v>
          </cell>
          <cell r="G46">
            <v>2.67</v>
          </cell>
        </row>
        <row r="47">
          <cell r="A47" t="str">
            <v>13:Q3</v>
          </cell>
          <cell r="B47">
            <v>92.63</v>
          </cell>
          <cell r="C47">
            <v>1.39</v>
          </cell>
          <cell r="D47">
            <v>0.66</v>
          </cell>
          <cell r="E47">
            <v>0.34</v>
          </cell>
          <cell r="F47">
            <v>2.41</v>
          </cell>
          <cell r="G47">
            <v>2.57</v>
          </cell>
        </row>
        <row r="48">
          <cell r="A48" t="str">
            <v>13:Q4</v>
          </cell>
          <cell r="B48">
            <v>92.88</v>
          </cell>
          <cell r="C48">
            <v>1.44</v>
          </cell>
          <cell r="D48">
            <v>0.67</v>
          </cell>
          <cell r="E48">
            <v>0.35</v>
          </cell>
          <cell r="F48">
            <v>2.2599999999999998</v>
          </cell>
          <cell r="G48">
            <v>2.4</v>
          </cell>
        </row>
        <row r="49">
          <cell r="A49" t="str">
            <v>14:Q1</v>
          </cell>
          <cell r="B49">
            <v>93.39</v>
          </cell>
          <cell r="C49">
            <v>1.26</v>
          </cell>
          <cell r="D49">
            <v>0.57999999999999996</v>
          </cell>
          <cell r="E49">
            <v>0.34</v>
          </cell>
          <cell r="F49">
            <v>2.09</v>
          </cell>
          <cell r="G49">
            <v>2.34</v>
          </cell>
        </row>
        <row r="50">
          <cell r="A50" t="str">
            <v>14:Q2</v>
          </cell>
          <cell r="B50">
            <v>93.78</v>
          </cell>
          <cell r="C50">
            <v>1.22</v>
          </cell>
          <cell r="D50">
            <v>0.52</v>
          </cell>
          <cell r="E50">
            <v>0.3</v>
          </cell>
          <cell r="F50">
            <v>1.9</v>
          </cell>
          <cell r="G50">
            <v>2.2799999999999998</v>
          </cell>
        </row>
        <row r="51">
          <cell r="A51" t="str">
            <v>14:Q3</v>
          </cell>
          <cell r="B51">
            <v>93.75</v>
          </cell>
          <cell r="C51">
            <v>1.38</v>
          </cell>
          <cell r="D51">
            <v>0.55000000000000004</v>
          </cell>
          <cell r="E51">
            <v>0.32</v>
          </cell>
          <cell r="F51">
            <v>1.82</v>
          </cell>
          <cell r="G51">
            <v>2.1800000000000002</v>
          </cell>
        </row>
        <row r="52">
          <cell r="A52" t="str">
            <v>14:Q4</v>
          </cell>
          <cell r="B52">
            <v>94.01</v>
          </cell>
          <cell r="C52">
            <v>1.1200000000000001</v>
          </cell>
          <cell r="D52">
            <v>0.59</v>
          </cell>
          <cell r="E52">
            <v>0.3</v>
          </cell>
          <cell r="F52">
            <v>1.82</v>
          </cell>
          <cell r="G52">
            <v>2.17</v>
          </cell>
        </row>
        <row r="53">
          <cell r="A53" t="str">
            <v>15:Q1</v>
          </cell>
          <cell r="B53">
            <v>94.27</v>
          </cell>
          <cell r="C53">
            <v>1.01</v>
          </cell>
          <cell r="D53">
            <v>0.49</v>
          </cell>
          <cell r="E53">
            <v>0.28999999999999998</v>
          </cell>
          <cell r="F53">
            <v>1.78</v>
          </cell>
          <cell r="G53">
            <v>2.16</v>
          </cell>
        </row>
        <row r="54">
          <cell r="A54" t="str">
            <v>15:Q2</v>
          </cell>
          <cell r="B54">
            <v>94.36</v>
          </cell>
          <cell r="C54">
            <v>1.17</v>
          </cell>
          <cell r="D54">
            <v>0.5</v>
          </cell>
          <cell r="E54">
            <v>0.27</v>
          </cell>
          <cell r="F54">
            <v>1.66</v>
          </cell>
          <cell r="G54">
            <v>2.04</v>
          </cell>
        </row>
        <row r="55">
          <cell r="A55" t="str">
            <v>15:Q3</v>
          </cell>
          <cell r="B55">
            <v>94.44</v>
          </cell>
          <cell r="C55">
            <v>1.28</v>
          </cell>
          <cell r="D55">
            <v>0.52</v>
          </cell>
          <cell r="E55">
            <v>0.28000000000000003</v>
          </cell>
          <cell r="F55">
            <v>1.47</v>
          </cell>
          <cell r="G55">
            <v>2.02</v>
          </cell>
        </row>
        <row r="56">
          <cell r="A56" t="str">
            <v>15:Q4</v>
          </cell>
          <cell r="B56">
            <v>94.61</v>
          </cell>
          <cell r="C56">
            <v>1.21</v>
          </cell>
          <cell r="D56">
            <v>0.52</v>
          </cell>
          <cell r="E56">
            <v>0.26</v>
          </cell>
          <cell r="F56">
            <v>1.47</v>
          </cell>
          <cell r="G56">
            <v>1.93</v>
          </cell>
        </row>
        <row r="57">
          <cell r="A57" t="str">
            <v>16:Q1</v>
          </cell>
          <cell r="B57">
            <v>94.99</v>
          </cell>
          <cell r="C57">
            <v>1.03</v>
          </cell>
          <cell r="D57">
            <v>0.41</v>
          </cell>
          <cell r="E57">
            <v>0.26</v>
          </cell>
          <cell r="F57">
            <v>1.36</v>
          </cell>
          <cell r="G57">
            <v>1.94</v>
          </cell>
        </row>
        <row r="58">
          <cell r="A58" t="str">
            <v>16:Q2</v>
          </cell>
          <cell r="B58">
            <v>95.22</v>
          </cell>
          <cell r="C58">
            <v>1.06</v>
          </cell>
          <cell r="D58">
            <v>0.42</v>
          </cell>
          <cell r="E58">
            <v>0.22</v>
          </cell>
          <cell r="F58">
            <v>1.22</v>
          </cell>
          <cell r="G58">
            <v>1.87</v>
          </cell>
        </row>
        <row r="59">
          <cell r="A59" t="str">
            <v>16:Q3</v>
          </cell>
          <cell r="B59">
            <v>95.07</v>
          </cell>
          <cell r="C59">
            <v>1.2</v>
          </cell>
          <cell r="D59">
            <v>0.49</v>
          </cell>
          <cell r="E59">
            <v>0.26</v>
          </cell>
          <cell r="F59">
            <v>1.1499999999999999</v>
          </cell>
          <cell r="G59">
            <v>1.83</v>
          </cell>
        </row>
        <row r="60">
          <cell r="A60" t="str">
            <v>16:Q4</v>
          </cell>
          <cell r="B60">
            <v>95.18</v>
          </cell>
          <cell r="C60">
            <v>1.0900000000000001</v>
          </cell>
          <cell r="D60">
            <v>0.46</v>
          </cell>
          <cell r="E60">
            <v>0.28999999999999998</v>
          </cell>
          <cell r="F60">
            <v>1.1299999999999999</v>
          </cell>
          <cell r="G60">
            <v>1.86</v>
          </cell>
        </row>
        <row r="61">
          <cell r="A61" t="str">
            <v>17:Q1</v>
          </cell>
          <cell r="B61">
            <v>95.16</v>
          </cell>
          <cell r="C61">
            <v>1.07</v>
          </cell>
          <cell r="D61">
            <v>0.41</v>
          </cell>
          <cell r="E61">
            <v>0.27</v>
          </cell>
          <cell r="F61">
            <v>1.17</v>
          </cell>
          <cell r="G61">
            <v>1.91</v>
          </cell>
        </row>
        <row r="62">
          <cell r="A62" t="str">
            <v>17:Q2</v>
          </cell>
          <cell r="B62">
            <v>95.23</v>
          </cell>
          <cell r="C62">
            <v>1.1200000000000001</v>
          </cell>
          <cell r="D62">
            <v>0.45</v>
          </cell>
          <cell r="E62">
            <v>0.23</v>
          </cell>
          <cell r="F62">
            <v>1.05</v>
          </cell>
          <cell r="G62">
            <v>1.92</v>
          </cell>
        </row>
        <row r="63">
          <cell r="A63" t="str">
            <v>17:Q3</v>
          </cell>
          <cell r="B63">
            <v>95.15</v>
          </cell>
          <cell r="C63">
            <v>1.25</v>
          </cell>
          <cell r="D63">
            <v>0.46</v>
          </cell>
          <cell r="E63">
            <v>0.28999999999999998</v>
          </cell>
          <cell r="F63">
            <v>0.99</v>
          </cell>
          <cell r="G63">
            <v>1.87</v>
          </cell>
        </row>
        <row r="64">
          <cell r="A64" t="str">
            <v>17:Q4</v>
          </cell>
          <cell r="B64">
            <v>95.29</v>
          </cell>
          <cell r="C64">
            <v>1.1599999999999999</v>
          </cell>
          <cell r="D64">
            <v>0.46</v>
          </cell>
          <cell r="E64">
            <v>0.26</v>
          </cell>
          <cell r="F64">
            <v>0.91</v>
          </cell>
          <cell r="G64">
            <v>1.92</v>
          </cell>
        </row>
        <row r="65">
          <cell r="A65" t="str">
            <v>18:Q1</v>
          </cell>
          <cell r="B65">
            <v>95.41</v>
          </cell>
          <cell r="C65">
            <v>1.07</v>
          </cell>
          <cell r="D65">
            <v>0.43</v>
          </cell>
          <cell r="E65">
            <v>0.26</v>
          </cell>
          <cell r="F65">
            <v>0.87</v>
          </cell>
          <cell r="G65">
            <v>1.95</v>
          </cell>
        </row>
        <row r="66">
          <cell r="A66" t="str">
            <v>18:Q2</v>
          </cell>
          <cell r="B66">
            <v>95.5</v>
          </cell>
          <cell r="C66">
            <v>1.05</v>
          </cell>
          <cell r="D66">
            <v>0.42</v>
          </cell>
          <cell r="E66">
            <v>0.25</v>
          </cell>
          <cell r="F66">
            <v>0.84</v>
          </cell>
          <cell r="G66">
            <v>1.94</v>
          </cell>
        </row>
        <row r="67">
          <cell r="A67" t="str">
            <v>18:Q3</v>
          </cell>
          <cell r="B67">
            <v>95.28</v>
          </cell>
          <cell r="C67">
            <v>1.2</v>
          </cell>
          <cell r="D67">
            <v>0.45</v>
          </cell>
          <cell r="E67">
            <v>0.28000000000000003</v>
          </cell>
          <cell r="F67">
            <v>0.86</v>
          </cell>
          <cell r="G67">
            <v>1.93</v>
          </cell>
        </row>
        <row r="68">
          <cell r="A68" t="str">
            <v>18:Q4</v>
          </cell>
          <cell r="B68">
            <v>95.35</v>
          </cell>
          <cell r="C68">
            <v>1.1499999999999999</v>
          </cell>
          <cell r="D68">
            <v>0.43</v>
          </cell>
          <cell r="E68">
            <v>0.25</v>
          </cell>
          <cell r="F68">
            <v>0.9</v>
          </cell>
          <cell r="G68">
            <v>1.92</v>
          </cell>
        </row>
        <row r="69">
          <cell r="A69" t="str">
            <v>19:Q1</v>
          </cell>
          <cell r="B69">
            <v>95.44</v>
          </cell>
          <cell r="C69">
            <v>1.07</v>
          </cell>
          <cell r="D69">
            <v>0.44</v>
          </cell>
          <cell r="E69">
            <v>0.26</v>
          </cell>
          <cell r="F69">
            <v>0.82</v>
          </cell>
          <cell r="G69">
            <v>1.97</v>
          </cell>
        </row>
        <row r="70">
          <cell r="A70" t="str">
            <v>19:Q2</v>
          </cell>
          <cell r="B70">
            <v>95.63</v>
          </cell>
          <cell r="C70">
            <v>1.07</v>
          </cell>
          <cell r="D70">
            <v>0.37</v>
          </cell>
          <cell r="E70">
            <v>0.25</v>
          </cell>
          <cell r="F70">
            <v>0.72</v>
          </cell>
          <cell r="G70">
            <v>1.95</v>
          </cell>
        </row>
        <row r="71">
          <cell r="A71" t="str">
            <v>19:Q3</v>
          </cell>
          <cell r="B71">
            <v>95.22</v>
          </cell>
          <cell r="C71">
            <v>1.24</v>
          </cell>
          <cell r="D71">
            <v>0.5</v>
          </cell>
          <cell r="E71">
            <v>0.28999999999999998</v>
          </cell>
          <cell r="F71">
            <v>0.78</v>
          </cell>
          <cell r="G71">
            <v>1.97</v>
          </cell>
        </row>
        <row r="72">
          <cell r="A72" t="str">
            <v>19:Q4</v>
          </cell>
          <cell r="B72">
            <v>95.27</v>
          </cell>
          <cell r="C72">
            <v>1.1100000000000001</v>
          </cell>
          <cell r="D72">
            <v>0.48</v>
          </cell>
          <cell r="E72">
            <v>0.28999999999999998</v>
          </cell>
          <cell r="F72">
            <v>0.83</v>
          </cell>
          <cell r="G72">
            <v>2.02</v>
          </cell>
        </row>
        <row r="73">
          <cell r="A73" t="str">
            <v>20:Q1</v>
          </cell>
          <cell r="B73">
            <v>95.44</v>
          </cell>
          <cell r="C73">
            <v>1.06</v>
          </cell>
          <cell r="D73">
            <v>0.36</v>
          </cell>
          <cell r="E73">
            <v>0.26</v>
          </cell>
          <cell r="F73">
            <v>0.78</v>
          </cell>
          <cell r="G73">
            <v>2.1</v>
          </cell>
        </row>
        <row r="74">
          <cell r="A74" t="str">
            <v>20:Q2</v>
          </cell>
          <cell r="B74">
            <v>96.41</v>
          </cell>
          <cell r="C74">
            <v>0.64</v>
          </cell>
          <cell r="D74">
            <v>0.23</v>
          </cell>
          <cell r="E74">
            <v>0.12</v>
          </cell>
          <cell r="F74">
            <v>0.49</v>
          </cell>
          <cell r="G74">
            <v>2.1</v>
          </cell>
        </row>
        <row r="75">
          <cell r="A75" t="str">
            <v>20:Q3</v>
          </cell>
          <cell r="B75">
            <v>96.63</v>
          </cell>
          <cell r="C75">
            <v>0.65</v>
          </cell>
          <cell r="D75">
            <v>0.2</v>
          </cell>
          <cell r="E75">
            <v>0.11</v>
          </cell>
          <cell r="F75">
            <v>0.41</v>
          </cell>
          <cell r="G75">
            <v>2.0099999999999998</v>
          </cell>
        </row>
        <row r="76">
          <cell r="A76" t="str">
            <v>20:Q4</v>
          </cell>
          <cell r="B76">
            <v>96.83</v>
          </cell>
          <cell r="C76">
            <v>0.56999999999999995</v>
          </cell>
          <cell r="D76">
            <v>0.2</v>
          </cell>
          <cell r="E76">
            <v>0.11</v>
          </cell>
          <cell r="F76">
            <v>0.39</v>
          </cell>
          <cell r="G76">
            <v>1.9</v>
          </cell>
        </row>
        <row r="77">
          <cell r="A77" t="str">
            <v>21:Q1</v>
          </cell>
          <cell r="B77">
            <v>96.95</v>
          </cell>
          <cell r="C77">
            <v>0.54</v>
          </cell>
          <cell r="D77">
            <v>0.18</v>
          </cell>
          <cell r="E77">
            <v>0.1</v>
          </cell>
          <cell r="F77">
            <v>0.39</v>
          </cell>
          <cell r="G77">
            <v>1.85</v>
          </cell>
        </row>
        <row r="78">
          <cell r="A78" t="str">
            <v>21:Q2</v>
          </cell>
          <cell r="B78">
            <v>97.3</v>
          </cell>
          <cell r="C78">
            <v>0.46</v>
          </cell>
          <cell r="D78">
            <v>0.14000000000000001</v>
          </cell>
          <cell r="E78">
            <v>0.08</v>
          </cell>
          <cell r="F78">
            <v>0.3</v>
          </cell>
          <cell r="G78">
            <v>1.73</v>
          </cell>
        </row>
        <row r="79">
          <cell r="A79" t="str">
            <v>21:Q3</v>
          </cell>
          <cell r="B79">
            <v>97.3</v>
          </cell>
          <cell r="C79">
            <v>0.56000000000000005</v>
          </cell>
          <cell r="D79">
            <v>0.16</v>
          </cell>
          <cell r="E79">
            <v>7.0000000000000007E-2</v>
          </cell>
          <cell r="F79">
            <v>0.31</v>
          </cell>
          <cell r="G79">
            <v>1.6</v>
          </cell>
        </row>
        <row r="80">
          <cell r="A80" t="str">
            <v>21:Q4</v>
          </cell>
          <cell r="B80">
            <v>97.28</v>
          </cell>
          <cell r="C80">
            <v>0.61</v>
          </cell>
          <cell r="D80">
            <v>0.2</v>
          </cell>
          <cell r="E80">
            <v>0.09</v>
          </cell>
          <cell r="F80">
            <v>0.32</v>
          </cell>
          <cell r="G80">
            <v>1.5</v>
          </cell>
        </row>
        <row r="81">
          <cell r="A81" t="str">
            <v>22:Q1</v>
          </cell>
          <cell r="B81">
            <v>97.28</v>
          </cell>
          <cell r="C81">
            <v>0.62</v>
          </cell>
          <cell r="D81">
            <v>0.21</v>
          </cell>
          <cell r="E81">
            <v>0.11</v>
          </cell>
          <cell r="F81">
            <v>0.32</v>
          </cell>
          <cell r="G81">
            <v>1.46</v>
          </cell>
        </row>
        <row r="82">
          <cell r="A82" t="str">
            <v>22:Q2</v>
          </cell>
          <cell r="B82">
            <v>97.31</v>
          </cell>
          <cell r="C82">
            <v>0.66</v>
          </cell>
          <cell r="D82">
            <v>0.21</v>
          </cell>
          <cell r="E82">
            <v>0.12</v>
          </cell>
          <cell r="F82">
            <v>0.36</v>
          </cell>
          <cell r="G82">
            <v>1.32</v>
          </cell>
        </row>
        <row r="83">
          <cell r="A83" t="str">
            <v>22:Q3</v>
          </cell>
          <cell r="B83">
            <v>97.31</v>
          </cell>
          <cell r="C83">
            <v>0.77</v>
          </cell>
          <cell r="D83">
            <v>0.26</v>
          </cell>
          <cell r="E83">
            <v>0.12</v>
          </cell>
          <cell r="F83">
            <v>0.31</v>
          </cell>
          <cell r="G83">
            <v>1.22</v>
          </cell>
        </row>
        <row r="84">
          <cell r="A84" t="str">
            <v>22:Q4</v>
          </cell>
          <cell r="B84">
            <v>97.5</v>
          </cell>
          <cell r="C84">
            <v>0.82</v>
          </cell>
          <cell r="D84">
            <v>0.26</v>
          </cell>
          <cell r="E84">
            <v>0.14000000000000001</v>
          </cell>
          <cell r="F84">
            <v>0.33</v>
          </cell>
          <cell r="G84">
            <v>0.95</v>
          </cell>
        </row>
        <row r="85">
          <cell r="A85" t="str">
            <v>23:Q1</v>
          </cell>
          <cell r="B85">
            <v>97.39</v>
          </cell>
          <cell r="C85">
            <v>0.81</v>
          </cell>
          <cell r="D85">
            <v>0.31</v>
          </cell>
          <cell r="E85">
            <v>0.13</v>
          </cell>
          <cell r="F85">
            <v>0.33</v>
          </cell>
          <cell r="G85">
            <v>1.03</v>
          </cell>
        </row>
        <row r="86">
          <cell r="A86" t="str">
            <v>23:Q2</v>
          </cell>
          <cell r="B86">
            <v>97.38</v>
          </cell>
          <cell r="C86">
            <v>0.83</v>
          </cell>
          <cell r="D86">
            <v>0.32</v>
          </cell>
          <cell r="E86">
            <v>0.14000000000000001</v>
          </cell>
          <cell r="F86">
            <v>0.33</v>
          </cell>
          <cell r="G86">
            <v>0.99</v>
          </cell>
        </row>
        <row r="87">
          <cell r="A87" t="str">
            <v>23:Q3</v>
          </cell>
          <cell r="B87">
            <v>97.02</v>
          </cell>
          <cell r="C87">
            <v>0.98</v>
          </cell>
          <cell r="D87">
            <v>0.36</v>
          </cell>
          <cell r="E87">
            <v>0.18</v>
          </cell>
          <cell r="F87">
            <v>0.34</v>
          </cell>
          <cell r="G87">
            <v>1.1299999999999999</v>
          </cell>
        </row>
        <row r="88">
          <cell r="A88" t="str">
            <v>23:Q4</v>
          </cell>
          <cell r="B88">
            <v>96.87</v>
          </cell>
          <cell r="C88">
            <v>1.02</v>
          </cell>
          <cell r="D88">
            <v>0.38</v>
          </cell>
          <cell r="E88">
            <v>0.2</v>
          </cell>
          <cell r="F88">
            <v>0.42</v>
          </cell>
          <cell r="G88">
            <v>1.1100000000000001</v>
          </cell>
        </row>
        <row r="89">
          <cell r="A89" t="str">
            <v>24:Q1</v>
          </cell>
          <cell r="B89">
            <v>96.76</v>
          </cell>
          <cell r="C89">
            <v>0.99</v>
          </cell>
          <cell r="D89">
            <v>0.39</v>
          </cell>
          <cell r="E89">
            <v>0.19</v>
          </cell>
          <cell r="F89">
            <v>0.41</v>
          </cell>
          <cell r="G89">
            <v>1.27</v>
          </cell>
        </row>
        <row r="90">
          <cell r="A90" t="str">
            <v>24:Q2</v>
          </cell>
          <cell r="B90">
            <v>96.82</v>
          </cell>
          <cell r="C90">
            <v>0.95</v>
          </cell>
          <cell r="D90">
            <v>0.41</v>
          </cell>
          <cell r="E90">
            <v>0.18</v>
          </cell>
          <cell r="F90">
            <v>0.4</v>
          </cell>
          <cell r="G90">
            <v>1.26</v>
          </cell>
        </row>
        <row r="91">
          <cell r="A91" t="str">
            <v>24:Q3</v>
          </cell>
          <cell r="B91">
            <v>96.461622453228955</v>
          </cell>
          <cell r="C91">
            <v>1.1136628286700911</v>
          </cell>
          <cell r="D91">
            <v>0.45445258587484777</v>
          </cell>
          <cell r="E91">
            <v>0.23652077218421938</v>
          </cell>
          <cell r="F91">
            <v>0.43586362738125672</v>
          </cell>
          <cell r="G91">
            <v>1.2978777326606326</v>
          </cell>
        </row>
        <row r="92">
          <cell r="A92" t="str">
            <v>24:Q4</v>
          </cell>
          <cell r="B92">
            <v>96.415733981436631</v>
          </cell>
          <cell r="C92">
            <v>1.0852323974638665</v>
          </cell>
          <cell r="D92">
            <v>0.45780811936001276</v>
          </cell>
          <cell r="E92">
            <v>0.22804320491231503</v>
          </cell>
          <cell r="F92">
            <v>0.46913807888317699</v>
          </cell>
          <cell r="G92">
            <v>1.34404421794399</v>
          </cell>
        </row>
        <row r="93">
          <cell r="A93" t="str">
            <v>25:Q1</v>
          </cell>
          <cell r="B93">
            <v>95.652805632178087</v>
          </cell>
          <cell r="C93">
            <v>1.0930176754056715</v>
          </cell>
          <cell r="D93">
            <v>0.40539618313384562</v>
          </cell>
          <cell r="E93">
            <v>0.53561168263081538</v>
          </cell>
          <cell r="F93">
            <v>0.84095216919429294</v>
          </cell>
          <cell r="G93">
            <v>1.4722166574572866</v>
          </cell>
        </row>
        <row r="94">
          <cell r="A94" t="str">
            <v>25:Q2</v>
          </cell>
          <cell r="B94">
            <v>95.587610538493209</v>
          </cell>
          <cell r="C94">
            <v>0.92809850916007086</v>
          </cell>
          <cell r="D94">
            <v>0.44253523397450562</v>
          </cell>
          <cell r="E94">
            <v>0.27488927087622522</v>
          </cell>
          <cell r="F94">
            <v>1.2614296638584062</v>
          </cell>
          <cell r="G94">
            <v>1.5054367836375797</v>
          </cell>
        </row>
        <row r="95">
          <cell r="A95" t="str">
            <v>25:Q3</v>
          </cell>
          <cell r="B95">
            <v>95.52</v>
          </cell>
          <cell r="C95">
            <v>1.0867166426822801</v>
          </cell>
          <cell r="D95">
            <v>0.41957838200086439</v>
          </cell>
          <cell r="E95">
            <v>0.26401710688403157</v>
          </cell>
          <cell r="F95">
            <v>1.1984099619649176</v>
          </cell>
          <cell r="G95">
            <v>1.525396201024233</v>
          </cell>
        </row>
        <row r="96">
          <cell r="A96" t="str">
            <v>25:Q4</v>
          </cell>
          <cell r="B96">
            <v>95.193527267022645</v>
          </cell>
          <cell r="C96">
            <v>1.2096621430176029</v>
          </cell>
          <cell r="D96">
            <v>0.46903088827193334</v>
          </cell>
          <cell r="E96">
            <v>0.31412796806107757</v>
          </cell>
          <cell r="F96">
            <v>1.2699584915667819</v>
          </cell>
          <cell r="G96">
            <v>1.5436932420599581</v>
          </cell>
        </row>
        <row r="97">
          <cell r="A97" t="str">
            <v>26:Q1</v>
          </cell>
          <cell r="B97">
            <v>95.238349166397825</v>
          </cell>
          <cell r="C97">
            <v>1.0099744306895715</v>
          </cell>
          <cell r="D97">
            <v>0.3846861427135464</v>
          </cell>
          <cell r="E97">
            <v>0.31413724240719459</v>
          </cell>
          <cell r="F97">
            <v>1.2984623752529603</v>
          </cell>
          <cell r="G97">
            <v>1.7543906425389073</v>
          </cell>
        </row>
      </sheetData>
      <sheetData sheetId="19" refreshError="1"/>
      <sheetData sheetId="20" refreshError="1"/>
      <sheetData sheetId="21">
        <row r="1">
          <cell r="A1" t="str">
            <v xml:space="preserve">New Delinquent* Balances by Loan Type </v>
          </cell>
        </row>
        <row r="2">
          <cell r="A2" t="str">
            <v>Percent</v>
          </cell>
        </row>
        <row r="3">
          <cell r="A3" t="str">
            <v>*30 or more days delinquent</v>
          </cell>
          <cell r="E3" t="str">
            <v>Source: New York Fed Consumer Credit Panel/Equifax</v>
          </cell>
        </row>
        <row r="4">
          <cell r="A4" t="str">
            <v>Return to Table of Contents</v>
          </cell>
        </row>
        <row r="5">
          <cell r="B5" t="str">
            <v>AUTO</v>
          </cell>
          <cell r="C5" t="str">
            <v>CC</v>
          </cell>
          <cell r="D5" t="str">
            <v>MORTGAGE</v>
          </cell>
          <cell r="E5" t="str">
            <v>HELOC</v>
          </cell>
          <cell r="F5" t="str">
            <v>STUDENT LOAN</v>
          </cell>
          <cell r="G5" t="str">
            <v>OTHER</v>
          </cell>
        </row>
        <row r="6">
          <cell r="A6" t="str">
            <v>03:Q1</v>
          </cell>
          <cell r="B6">
            <v>8.57</v>
          </cell>
          <cell r="C6">
            <v>12.32</v>
          </cell>
          <cell r="D6">
            <v>5.38</v>
          </cell>
          <cell r="E6">
            <v>2.94</v>
          </cell>
          <cell r="G6">
            <v>8.8800000000000008</v>
          </cell>
        </row>
        <row r="7">
          <cell r="A7" t="str">
            <v>03:Q2</v>
          </cell>
          <cell r="B7">
            <v>8.5</v>
          </cell>
          <cell r="C7">
            <v>12.27</v>
          </cell>
          <cell r="D7">
            <v>5.54</v>
          </cell>
          <cell r="E7">
            <v>2.68</v>
          </cell>
          <cell r="G7">
            <v>9.1300000000000008</v>
          </cell>
        </row>
        <row r="8">
          <cell r="A8" t="str">
            <v>03:Q3</v>
          </cell>
          <cell r="B8">
            <v>8.0299999999999994</v>
          </cell>
          <cell r="C8">
            <v>11.74</v>
          </cell>
          <cell r="D8">
            <v>5.27</v>
          </cell>
          <cell r="E8">
            <v>2.5299999999999998</v>
          </cell>
          <cell r="G8">
            <v>9.0500000000000007</v>
          </cell>
        </row>
        <row r="9">
          <cell r="A9" t="str">
            <v>03:Q4</v>
          </cell>
          <cell r="B9">
            <v>7.79</v>
          </cell>
          <cell r="C9">
            <v>11.56</v>
          </cell>
          <cell r="D9">
            <v>5.27</v>
          </cell>
          <cell r="E9">
            <v>2.0299999999999998</v>
          </cell>
          <cell r="G9">
            <v>8.8000000000000007</v>
          </cell>
        </row>
        <row r="10">
          <cell r="A10" t="str">
            <v>04:Q1</v>
          </cell>
          <cell r="B10">
            <v>7.42</v>
          </cell>
          <cell r="C10">
            <v>10.89</v>
          </cell>
          <cell r="D10">
            <v>5.05</v>
          </cell>
          <cell r="E10">
            <v>1.93</v>
          </cell>
          <cell r="F10">
            <v>7.61</v>
          </cell>
          <cell r="G10">
            <v>8.94</v>
          </cell>
        </row>
        <row r="11">
          <cell r="A11" t="str">
            <v>04:Q2</v>
          </cell>
          <cell r="B11">
            <v>7.29</v>
          </cell>
          <cell r="C11">
            <v>10.48</v>
          </cell>
          <cell r="D11">
            <v>5.07</v>
          </cell>
          <cell r="E11">
            <v>1.98</v>
          </cell>
          <cell r="F11">
            <v>7.2</v>
          </cell>
          <cell r="G11">
            <v>8.7200000000000006</v>
          </cell>
        </row>
        <row r="12">
          <cell r="A12" t="str">
            <v>04:Q3</v>
          </cell>
          <cell r="B12">
            <v>7.19</v>
          </cell>
          <cell r="C12">
            <v>10.199999999999999</v>
          </cell>
          <cell r="D12">
            <v>5</v>
          </cell>
          <cell r="E12">
            <v>1.84</v>
          </cell>
          <cell r="F12">
            <v>7.28</v>
          </cell>
          <cell r="G12">
            <v>8.4700000000000006</v>
          </cell>
        </row>
        <row r="13">
          <cell r="A13" t="str">
            <v>04:Q4</v>
          </cell>
          <cell r="B13">
            <v>6.98</v>
          </cell>
          <cell r="C13">
            <v>9.85</v>
          </cell>
          <cell r="D13">
            <v>4.88</v>
          </cell>
          <cell r="E13">
            <v>2.08</v>
          </cell>
          <cell r="F13">
            <v>7.61</v>
          </cell>
          <cell r="G13">
            <v>8.2799999999999994</v>
          </cell>
        </row>
        <row r="14">
          <cell r="A14" t="str">
            <v>05:Q1</v>
          </cell>
          <cell r="B14">
            <v>6.78</v>
          </cell>
          <cell r="C14">
            <v>9.35</v>
          </cell>
          <cell r="D14">
            <v>4.75</v>
          </cell>
          <cell r="E14">
            <v>2.14</v>
          </cell>
          <cell r="F14">
            <v>8.17</v>
          </cell>
          <cell r="G14">
            <v>8.1199999999999992</v>
          </cell>
        </row>
        <row r="15">
          <cell r="A15" t="str">
            <v>05:Q2</v>
          </cell>
          <cell r="B15">
            <v>6.69</v>
          </cell>
          <cell r="C15">
            <v>9.1</v>
          </cell>
          <cell r="D15">
            <v>4.6399999999999997</v>
          </cell>
          <cell r="E15">
            <v>2.04</v>
          </cell>
          <cell r="F15">
            <v>8.4700000000000006</v>
          </cell>
          <cell r="G15">
            <v>8</v>
          </cell>
        </row>
        <row r="16">
          <cell r="A16" t="str">
            <v>05:Q3</v>
          </cell>
          <cell r="B16">
            <v>7.13</v>
          </cell>
          <cell r="C16">
            <v>9.25</v>
          </cell>
          <cell r="D16">
            <v>4.6900000000000004</v>
          </cell>
          <cell r="E16">
            <v>2.0299999999999998</v>
          </cell>
          <cell r="F16">
            <v>9.0500000000000007</v>
          </cell>
          <cell r="G16">
            <v>8.2799999999999994</v>
          </cell>
        </row>
        <row r="17">
          <cell r="A17" t="str">
            <v>05:Q4</v>
          </cell>
          <cell r="B17">
            <v>7.34</v>
          </cell>
          <cell r="C17">
            <v>8.6300000000000008</v>
          </cell>
          <cell r="D17">
            <v>4.68</v>
          </cell>
          <cell r="E17">
            <v>1.84</v>
          </cell>
          <cell r="F17">
            <v>8.8800000000000008</v>
          </cell>
          <cell r="G17">
            <v>8.26</v>
          </cell>
        </row>
        <row r="18">
          <cell r="A18" t="str">
            <v>06:Q1</v>
          </cell>
          <cell r="B18">
            <v>7.66</v>
          </cell>
          <cell r="C18">
            <v>8.58</v>
          </cell>
          <cell r="D18">
            <v>4.7300000000000004</v>
          </cell>
          <cell r="E18">
            <v>1.93</v>
          </cell>
          <cell r="F18">
            <v>8.82</v>
          </cell>
          <cell r="G18">
            <v>8.1199999999999992</v>
          </cell>
        </row>
        <row r="19">
          <cell r="A19" t="str">
            <v>06:Q2</v>
          </cell>
          <cell r="B19">
            <v>8.2100000000000009</v>
          </cell>
          <cell r="C19">
            <v>8.4499999999999993</v>
          </cell>
          <cell r="D19">
            <v>4.8499999999999996</v>
          </cell>
          <cell r="E19">
            <v>2.34</v>
          </cell>
          <cell r="F19">
            <v>9.16</v>
          </cell>
          <cell r="G19">
            <v>7.94</v>
          </cell>
        </row>
        <row r="20">
          <cell r="A20" t="str">
            <v>06:Q3</v>
          </cell>
          <cell r="B20">
            <v>8.32</v>
          </cell>
          <cell r="C20">
            <v>8.3800000000000008</v>
          </cell>
          <cell r="D20">
            <v>5.03</v>
          </cell>
          <cell r="E20">
            <v>2.64</v>
          </cell>
          <cell r="F20">
            <v>9.2200000000000006</v>
          </cell>
          <cell r="G20">
            <v>7.62</v>
          </cell>
        </row>
        <row r="21">
          <cell r="A21" t="str">
            <v>06:Q4</v>
          </cell>
          <cell r="B21">
            <v>8.69</v>
          </cell>
          <cell r="C21">
            <v>8.76</v>
          </cell>
          <cell r="D21">
            <v>5.45</v>
          </cell>
          <cell r="E21">
            <v>2.85</v>
          </cell>
          <cell r="F21">
            <v>9.75</v>
          </cell>
          <cell r="G21">
            <v>7.43</v>
          </cell>
        </row>
        <row r="22">
          <cell r="A22" t="str">
            <v>07:Q1</v>
          </cell>
          <cell r="B22">
            <v>8.76</v>
          </cell>
          <cell r="C22">
            <v>9.0500000000000007</v>
          </cell>
          <cell r="D22">
            <v>5.99</v>
          </cell>
          <cell r="E22">
            <v>3.23</v>
          </cell>
          <cell r="F22">
            <v>9.8699999999999992</v>
          </cell>
          <cell r="G22">
            <v>7.39</v>
          </cell>
        </row>
        <row r="23">
          <cell r="A23" t="str">
            <v>07:Q2</v>
          </cell>
          <cell r="B23">
            <v>8.84</v>
          </cell>
          <cell r="C23">
            <v>9.32</v>
          </cell>
          <cell r="D23">
            <v>6.46</v>
          </cell>
          <cell r="E23">
            <v>3.3</v>
          </cell>
          <cell r="F23">
            <v>10</v>
          </cell>
          <cell r="G23">
            <v>7.48</v>
          </cell>
        </row>
        <row r="24">
          <cell r="A24" t="str">
            <v>07:Q3</v>
          </cell>
          <cell r="B24">
            <v>9.1300000000000008</v>
          </cell>
          <cell r="C24">
            <v>9.2899999999999991</v>
          </cell>
          <cell r="D24">
            <v>7.09</v>
          </cell>
          <cell r="E24">
            <v>3.63</v>
          </cell>
          <cell r="F24">
            <v>9.82</v>
          </cell>
          <cell r="G24">
            <v>7.99</v>
          </cell>
        </row>
        <row r="25">
          <cell r="A25" t="str">
            <v>07:Q4</v>
          </cell>
          <cell r="B25">
            <v>9.41</v>
          </cell>
          <cell r="C25">
            <v>9.6999999999999993</v>
          </cell>
          <cell r="D25">
            <v>7.99</v>
          </cell>
          <cell r="E25">
            <v>4.3</v>
          </cell>
          <cell r="F25">
            <v>9.82</v>
          </cell>
          <cell r="G25">
            <v>8.8699999999999992</v>
          </cell>
        </row>
        <row r="26">
          <cell r="A26" t="str">
            <v>08:Q1</v>
          </cell>
          <cell r="B26">
            <v>9.73</v>
          </cell>
          <cell r="C26">
            <v>10.130000000000001</v>
          </cell>
          <cell r="D26">
            <v>8.7200000000000006</v>
          </cell>
          <cell r="E26">
            <v>4.87</v>
          </cell>
          <cell r="F26">
            <v>9.85</v>
          </cell>
          <cell r="G26">
            <v>9.75</v>
          </cell>
        </row>
        <row r="27">
          <cell r="A27" t="str">
            <v>08:Q2</v>
          </cell>
          <cell r="B27">
            <v>9.94</v>
          </cell>
          <cell r="C27">
            <v>10.43</v>
          </cell>
          <cell r="D27">
            <v>9.5</v>
          </cell>
          <cell r="E27">
            <v>5.67</v>
          </cell>
          <cell r="F27">
            <v>9.2799999999999994</v>
          </cell>
          <cell r="G27">
            <v>10.35</v>
          </cell>
        </row>
        <row r="28">
          <cell r="A28" t="str">
            <v>08:Q3</v>
          </cell>
          <cell r="B28">
            <v>10.18</v>
          </cell>
          <cell r="C28">
            <v>10.95</v>
          </cell>
          <cell r="D28">
            <v>10.26</v>
          </cell>
          <cell r="E28">
            <v>6.64</v>
          </cell>
          <cell r="F28">
            <v>9.5500000000000007</v>
          </cell>
          <cell r="G28">
            <v>11.62</v>
          </cell>
        </row>
        <row r="29">
          <cell r="A29" t="str">
            <v>08:Q4</v>
          </cell>
          <cell r="B29">
            <v>10.47</v>
          </cell>
          <cell r="C29">
            <v>11.84</v>
          </cell>
          <cell r="D29">
            <v>11.21</v>
          </cell>
          <cell r="E29">
            <v>7.32</v>
          </cell>
          <cell r="F29">
            <v>9.3800000000000008</v>
          </cell>
          <cell r="G29">
            <v>12.32</v>
          </cell>
        </row>
        <row r="30">
          <cell r="A30" t="str">
            <v>09:Q1</v>
          </cell>
          <cell r="B30">
            <v>10.62</v>
          </cell>
          <cell r="C30">
            <v>12.65</v>
          </cell>
          <cell r="D30">
            <v>11.94</v>
          </cell>
          <cell r="E30">
            <v>7.53</v>
          </cell>
          <cell r="F30">
            <v>9.34</v>
          </cell>
          <cell r="G30">
            <v>12.21</v>
          </cell>
        </row>
        <row r="31">
          <cell r="A31" t="str">
            <v>09:Q2</v>
          </cell>
          <cell r="B31">
            <v>10.85</v>
          </cell>
          <cell r="C31">
            <v>13.36</v>
          </cell>
          <cell r="D31">
            <v>12.4</v>
          </cell>
          <cell r="E31">
            <v>7.58</v>
          </cell>
          <cell r="F31">
            <v>9.7899999999999991</v>
          </cell>
          <cell r="G31">
            <v>12.43</v>
          </cell>
        </row>
        <row r="32">
          <cell r="A32" t="str">
            <v>09:Q3</v>
          </cell>
          <cell r="B32">
            <v>10.8</v>
          </cell>
          <cell r="C32">
            <v>13.77</v>
          </cell>
          <cell r="D32">
            <v>12.44</v>
          </cell>
          <cell r="E32">
            <v>7.12</v>
          </cell>
          <cell r="F32">
            <v>9.7100000000000009</v>
          </cell>
          <cell r="G32">
            <v>11.85</v>
          </cell>
        </row>
        <row r="33">
          <cell r="A33" t="str">
            <v>09:Q4</v>
          </cell>
          <cell r="B33">
            <v>10.46</v>
          </cell>
          <cell r="C33">
            <v>13.78</v>
          </cell>
          <cell r="D33">
            <v>11.66</v>
          </cell>
          <cell r="E33">
            <v>6.6</v>
          </cell>
          <cell r="F33">
            <v>10.18</v>
          </cell>
          <cell r="G33">
            <v>12.02</v>
          </cell>
        </row>
        <row r="34">
          <cell r="A34" t="str">
            <v>10:Q1</v>
          </cell>
          <cell r="B34">
            <v>10.220000000000001</v>
          </cell>
          <cell r="C34">
            <v>13.26</v>
          </cell>
          <cell r="D34">
            <v>11.06</v>
          </cell>
          <cell r="E34">
            <v>6.14</v>
          </cell>
          <cell r="F34">
            <v>10.36</v>
          </cell>
          <cell r="G34">
            <v>11.82</v>
          </cell>
        </row>
        <row r="35">
          <cell r="A35" t="str">
            <v>10:Q2</v>
          </cell>
          <cell r="B35">
            <v>9.5500000000000007</v>
          </cell>
          <cell r="C35">
            <v>12.93</v>
          </cell>
          <cell r="D35">
            <v>10.32</v>
          </cell>
          <cell r="E35">
            <v>5.59</v>
          </cell>
          <cell r="F35">
            <v>10.7</v>
          </cell>
          <cell r="G35">
            <v>11.4</v>
          </cell>
        </row>
        <row r="36">
          <cell r="A36" t="str">
            <v>10:Q3</v>
          </cell>
          <cell r="B36">
            <v>8.74</v>
          </cell>
          <cell r="C36">
            <v>12.11</v>
          </cell>
          <cell r="D36">
            <v>9.7100000000000009</v>
          </cell>
          <cell r="E36">
            <v>5.33</v>
          </cell>
          <cell r="F36">
            <v>10.85</v>
          </cell>
          <cell r="G36">
            <v>11.21</v>
          </cell>
        </row>
        <row r="37">
          <cell r="A37" t="str">
            <v>10:Q4</v>
          </cell>
          <cell r="B37">
            <v>8.1999999999999993</v>
          </cell>
          <cell r="C37">
            <v>10.74</v>
          </cell>
          <cell r="D37">
            <v>9.09</v>
          </cell>
          <cell r="E37">
            <v>5.0599999999999996</v>
          </cell>
          <cell r="F37">
            <v>10.45</v>
          </cell>
          <cell r="G37">
            <v>10.11</v>
          </cell>
        </row>
        <row r="38">
          <cell r="A38" t="str">
            <v>11:Q1</v>
          </cell>
          <cell r="B38">
            <v>7.63</v>
          </cell>
          <cell r="C38">
            <v>9.7100000000000009</v>
          </cell>
          <cell r="D38">
            <v>8.64</v>
          </cell>
          <cell r="E38">
            <v>4.82</v>
          </cell>
          <cell r="F38">
            <v>10.58</v>
          </cell>
          <cell r="G38">
            <v>9.3800000000000008</v>
          </cell>
        </row>
        <row r="39">
          <cell r="A39" t="str">
            <v>11:Q2</v>
          </cell>
          <cell r="B39">
            <v>7.05</v>
          </cell>
          <cell r="C39">
            <v>8.58</v>
          </cell>
          <cell r="D39">
            <v>8.2100000000000009</v>
          </cell>
          <cell r="E39">
            <v>4.5599999999999996</v>
          </cell>
          <cell r="F39">
            <v>10.35</v>
          </cell>
          <cell r="G39">
            <v>9.0399999999999991</v>
          </cell>
        </row>
        <row r="40">
          <cell r="A40" t="str">
            <v>11:Q3</v>
          </cell>
          <cell r="B40">
            <v>7.03</v>
          </cell>
          <cell r="C40">
            <v>8.08</v>
          </cell>
          <cell r="D40">
            <v>8.1999999999999993</v>
          </cell>
          <cell r="E40">
            <v>4.76</v>
          </cell>
          <cell r="F40">
            <v>10.6</v>
          </cell>
          <cell r="G40">
            <v>8.2200000000000006</v>
          </cell>
        </row>
        <row r="41">
          <cell r="A41" t="str">
            <v>11:Q4</v>
          </cell>
          <cell r="B41">
            <v>6.77</v>
          </cell>
          <cell r="C41">
            <v>7.64</v>
          </cell>
          <cell r="D41">
            <v>8.02</v>
          </cell>
          <cell r="E41">
            <v>4.3899999999999997</v>
          </cell>
          <cell r="F41">
            <v>10.64</v>
          </cell>
          <cell r="G41">
            <v>7.9</v>
          </cell>
        </row>
        <row r="42">
          <cell r="A42" t="str">
            <v>12:Q1</v>
          </cell>
          <cell r="B42">
            <v>6.67</v>
          </cell>
          <cell r="C42">
            <v>7.24</v>
          </cell>
          <cell r="D42">
            <v>7.57</v>
          </cell>
          <cell r="E42">
            <v>4.3499999999999996</v>
          </cell>
          <cell r="F42">
            <v>10.36</v>
          </cell>
          <cell r="G42">
            <v>7.54</v>
          </cell>
        </row>
        <row r="43">
          <cell r="A43" t="str">
            <v>12:Q2</v>
          </cell>
          <cell r="B43">
            <v>6.73</v>
          </cell>
          <cell r="C43">
            <v>6.95</v>
          </cell>
          <cell r="D43">
            <v>7.31</v>
          </cell>
          <cell r="E43">
            <v>4.3099999999999996</v>
          </cell>
          <cell r="F43">
            <v>10.91</v>
          </cell>
          <cell r="G43">
            <v>7.26</v>
          </cell>
        </row>
        <row r="44">
          <cell r="A44" t="str">
            <v>12:Q3</v>
          </cell>
          <cell r="B44">
            <v>6.41</v>
          </cell>
          <cell r="C44">
            <v>6.58</v>
          </cell>
          <cell r="D44">
            <v>6.69</v>
          </cell>
          <cell r="E44">
            <v>3.42</v>
          </cell>
          <cell r="F44">
            <v>11.12</v>
          </cell>
          <cell r="G44">
            <v>7.26</v>
          </cell>
        </row>
        <row r="45">
          <cell r="A45" t="str">
            <v>12:Q4</v>
          </cell>
          <cell r="B45">
            <v>6.38</v>
          </cell>
          <cell r="C45">
            <v>6.36</v>
          </cell>
          <cell r="D45">
            <v>6.3</v>
          </cell>
          <cell r="E45">
            <v>3.48</v>
          </cell>
          <cell r="F45">
            <v>11.39</v>
          </cell>
          <cell r="G45">
            <v>6.87</v>
          </cell>
        </row>
        <row r="46">
          <cell r="A46" t="str">
            <v>13:Q1</v>
          </cell>
          <cell r="B46">
            <v>6.62</v>
          </cell>
          <cell r="C46">
            <v>6.22</v>
          </cell>
          <cell r="D46">
            <v>6.04</v>
          </cell>
          <cell r="E46">
            <v>3.11</v>
          </cell>
          <cell r="F46">
            <v>11.62</v>
          </cell>
          <cell r="G46">
            <v>7.04</v>
          </cell>
        </row>
        <row r="47">
          <cell r="A47" t="str">
            <v>13:Q2</v>
          </cell>
          <cell r="B47">
            <v>6.65</v>
          </cell>
          <cell r="C47">
            <v>6.09</v>
          </cell>
          <cell r="D47">
            <v>5.73</v>
          </cell>
          <cell r="E47">
            <v>3.05</v>
          </cell>
          <cell r="F47">
            <v>11.09</v>
          </cell>
          <cell r="G47">
            <v>6.83</v>
          </cell>
        </row>
        <row r="48">
          <cell r="A48" t="str">
            <v>13:Q3</v>
          </cell>
          <cell r="B48">
            <v>6.79</v>
          </cell>
          <cell r="C48">
            <v>5.82</v>
          </cell>
          <cell r="D48">
            <v>5.47</v>
          </cell>
          <cell r="E48">
            <v>3.37</v>
          </cell>
          <cell r="F48">
            <v>11.01</v>
          </cell>
          <cell r="G48">
            <v>6.59</v>
          </cell>
        </row>
        <row r="49">
          <cell r="A49" t="str">
            <v>13:Q4</v>
          </cell>
          <cell r="B49">
            <v>6.85</v>
          </cell>
          <cell r="C49">
            <v>5.63</v>
          </cell>
          <cell r="D49">
            <v>5.25</v>
          </cell>
          <cell r="E49">
            <v>3.18</v>
          </cell>
          <cell r="F49">
            <v>11.33</v>
          </cell>
          <cell r="G49">
            <v>6.43</v>
          </cell>
        </row>
        <row r="50">
          <cell r="A50" t="str">
            <v>14:Q1</v>
          </cell>
          <cell r="B50">
            <v>6.86</v>
          </cell>
          <cell r="C50">
            <v>5.52</v>
          </cell>
          <cell r="D50">
            <v>4.92</v>
          </cell>
          <cell r="E50">
            <v>3.57</v>
          </cell>
          <cell r="F50">
            <v>11.47</v>
          </cell>
          <cell r="G50">
            <v>6.72</v>
          </cell>
        </row>
        <row r="51">
          <cell r="A51" t="str">
            <v>14:Q2</v>
          </cell>
          <cell r="B51">
            <v>6.91</v>
          </cell>
          <cell r="C51">
            <v>5.47</v>
          </cell>
          <cell r="D51">
            <v>4.6500000000000004</v>
          </cell>
          <cell r="E51">
            <v>3.52</v>
          </cell>
          <cell r="F51">
            <v>11.58</v>
          </cell>
          <cell r="G51">
            <v>6.74</v>
          </cell>
        </row>
        <row r="52">
          <cell r="A52" t="str">
            <v>14:Q3</v>
          </cell>
          <cell r="B52">
            <v>7.1</v>
          </cell>
          <cell r="C52">
            <v>5.42</v>
          </cell>
          <cell r="D52">
            <v>4.4800000000000004</v>
          </cell>
          <cell r="E52">
            <v>3.34</v>
          </cell>
          <cell r="F52">
            <v>11.5</v>
          </cell>
          <cell r="G52">
            <v>6.71</v>
          </cell>
        </row>
        <row r="53">
          <cell r="A53" t="str">
            <v>14:Q4</v>
          </cell>
          <cell r="B53">
            <v>7.15</v>
          </cell>
          <cell r="C53">
            <v>5.35</v>
          </cell>
          <cell r="D53">
            <v>4.2</v>
          </cell>
          <cell r="E53">
            <v>3.18</v>
          </cell>
          <cell r="F53">
            <v>11.12</v>
          </cell>
          <cell r="G53">
            <v>6.81</v>
          </cell>
        </row>
        <row r="54">
          <cell r="A54" t="str">
            <v>15:Q1</v>
          </cell>
          <cell r="B54">
            <v>6.93</v>
          </cell>
          <cell r="C54">
            <v>5.3</v>
          </cell>
          <cell r="D54">
            <v>4.05</v>
          </cell>
          <cell r="E54">
            <v>2.81</v>
          </cell>
          <cell r="F54">
            <v>10.81</v>
          </cell>
          <cell r="G54">
            <v>6.34</v>
          </cell>
        </row>
        <row r="55">
          <cell r="A55" t="str">
            <v>15:Q2</v>
          </cell>
          <cell r="B55">
            <v>7.11</v>
          </cell>
          <cell r="C55">
            <v>5.32</v>
          </cell>
          <cell r="D55">
            <v>4.09</v>
          </cell>
          <cell r="E55">
            <v>2.44</v>
          </cell>
          <cell r="F55">
            <v>10.74</v>
          </cell>
          <cell r="G55">
            <v>6.5</v>
          </cell>
        </row>
        <row r="56">
          <cell r="A56" t="str">
            <v>15:Q3</v>
          </cell>
          <cell r="B56">
            <v>7.05</v>
          </cell>
          <cell r="C56">
            <v>5.45</v>
          </cell>
          <cell r="D56">
            <v>3.94</v>
          </cell>
          <cell r="E56">
            <v>2.42</v>
          </cell>
          <cell r="F56">
            <v>10.47</v>
          </cell>
          <cell r="G56">
            <v>6.45</v>
          </cell>
        </row>
        <row r="57">
          <cell r="A57" t="str">
            <v>15:Q4</v>
          </cell>
          <cell r="B57">
            <v>7.13</v>
          </cell>
          <cell r="C57">
            <v>5.27</v>
          </cell>
          <cell r="D57">
            <v>3.85</v>
          </cell>
          <cell r="E57">
            <v>2.58</v>
          </cell>
          <cell r="F57">
            <v>10.46</v>
          </cell>
          <cell r="G57">
            <v>6.46</v>
          </cell>
        </row>
        <row r="58">
          <cell r="A58" t="str">
            <v>16:Q1</v>
          </cell>
          <cell r="B58">
            <v>7.27</v>
          </cell>
          <cell r="C58">
            <v>5.15</v>
          </cell>
          <cell r="D58">
            <v>3.7</v>
          </cell>
          <cell r="E58">
            <v>2.39</v>
          </cell>
          <cell r="F58">
            <v>10.16</v>
          </cell>
          <cell r="G58">
            <v>6.43</v>
          </cell>
        </row>
        <row r="59">
          <cell r="A59" t="str">
            <v>16:Q2</v>
          </cell>
          <cell r="B59">
            <v>7.28</v>
          </cell>
          <cell r="C59">
            <v>5.07</v>
          </cell>
          <cell r="D59">
            <v>3.43</v>
          </cell>
          <cell r="E59">
            <v>3.17</v>
          </cell>
          <cell r="F59">
            <v>9.8800000000000008</v>
          </cell>
          <cell r="G59">
            <v>6.4</v>
          </cell>
        </row>
        <row r="60">
          <cell r="A60" t="str">
            <v>16:Q3</v>
          </cell>
          <cell r="B60">
            <v>7.35</v>
          </cell>
          <cell r="C60">
            <v>5.15</v>
          </cell>
          <cell r="D60">
            <v>3.43</v>
          </cell>
          <cell r="E60">
            <v>2.95</v>
          </cell>
          <cell r="F60">
            <v>9.8800000000000008</v>
          </cell>
          <cell r="G60">
            <v>6.54</v>
          </cell>
        </row>
        <row r="61">
          <cell r="A61" t="str">
            <v>16:Q4</v>
          </cell>
          <cell r="B61">
            <v>7.46</v>
          </cell>
          <cell r="C61">
            <v>5.52</v>
          </cell>
          <cell r="D61">
            <v>3.38</v>
          </cell>
          <cell r="E61">
            <v>2.73</v>
          </cell>
          <cell r="F61">
            <v>9.8000000000000007</v>
          </cell>
          <cell r="G61">
            <v>6.71</v>
          </cell>
        </row>
        <row r="62">
          <cell r="A62" t="str">
            <v>17:Q1</v>
          </cell>
          <cell r="B62">
            <v>7.35</v>
          </cell>
          <cell r="C62">
            <v>5.9</v>
          </cell>
          <cell r="D62">
            <v>3.51</v>
          </cell>
          <cell r="E62">
            <v>2.52</v>
          </cell>
          <cell r="F62">
            <v>10</v>
          </cell>
          <cell r="G62">
            <v>6.97</v>
          </cell>
        </row>
        <row r="63">
          <cell r="A63" t="str">
            <v>17:Q2</v>
          </cell>
          <cell r="B63">
            <v>7.45</v>
          </cell>
          <cell r="C63">
            <v>6.19</v>
          </cell>
          <cell r="D63">
            <v>3.61</v>
          </cell>
          <cell r="E63">
            <v>1.75</v>
          </cell>
          <cell r="F63">
            <v>10.130000000000001</v>
          </cell>
          <cell r="G63">
            <v>7.08</v>
          </cell>
        </row>
        <row r="64">
          <cell r="A64" t="str">
            <v>17:Q3</v>
          </cell>
          <cell r="B64">
            <v>7.39</v>
          </cell>
          <cell r="C64">
            <v>6.33</v>
          </cell>
          <cell r="D64">
            <v>3.46</v>
          </cell>
          <cell r="E64">
            <v>2.11</v>
          </cell>
          <cell r="F64">
            <v>10.02</v>
          </cell>
          <cell r="G64">
            <v>7.05</v>
          </cell>
        </row>
        <row r="65">
          <cell r="A65" t="str">
            <v>17:Q4</v>
          </cell>
          <cell r="B65">
            <v>7.21</v>
          </cell>
          <cell r="C65">
            <v>6.33</v>
          </cell>
          <cell r="D65">
            <v>3.4</v>
          </cell>
          <cell r="E65">
            <v>2.0499999999999998</v>
          </cell>
          <cell r="F65">
            <v>9.61</v>
          </cell>
          <cell r="G65">
            <v>6.92</v>
          </cell>
        </row>
        <row r="66">
          <cell r="A66" t="str">
            <v>18:Q1</v>
          </cell>
          <cell r="B66">
            <v>7.28</v>
          </cell>
          <cell r="C66">
            <v>6.42</v>
          </cell>
          <cell r="D66">
            <v>3.38</v>
          </cell>
          <cell r="E66">
            <v>2.2200000000000002</v>
          </cell>
          <cell r="F66">
            <v>9.18</v>
          </cell>
          <cell r="G66">
            <v>7.1</v>
          </cell>
        </row>
        <row r="67">
          <cell r="A67" t="str">
            <v>18:Q2</v>
          </cell>
          <cell r="B67">
            <v>7.15</v>
          </cell>
          <cell r="C67">
            <v>6.4</v>
          </cell>
          <cell r="D67">
            <v>3.41</v>
          </cell>
          <cell r="E67">
            <v>2.2599999999999998</v>
          </cell>
          <cell r="F67">
            <v>8.84</v>
          </cell>
          <cell r="G67">
            <v>7.16</v>
          </cell>
        </row>
        <row r="68">
          <cell r="A68" t="str">
            <v>18:Q3</v>
          </cell>
          <cell r="B68">
            <v>7.05</v>
          </cell>
          <cell r="C68">
            <v>6.5</v>
          </cell>
          <cell r="D68">
            <v>3.56</v>
          </cell>
          <cell r="E68">
            <v>1.77</v>
          </cell>
          <cell r="F68">
            <v>9.2100000000000009</v>
          </cell>
          <cell r="G68">
            <v>7.23</v>
          </cell>
        </row>
        <row r="69">
          <cell r="A69" t="str">
            <v>18:Q4</v>
          </cell>
          <cell r="B69">
            <v>7.09</v>
          </cell>
          <cell r="C69">
            <v>6.65</v>
          </cell>
          <cell r="D69">
            <v>3.55</v>
          </cell>
          <cell r="E69">
            <v>1.75</v>
          </cell>
          <cell r="F69">
            <v>9.08</v>
          </cell>
          <cell r="G69">
            <v>7.35</v>
          </cell>
        </row>
        <row r="70">
          <cell r="A70" t="str">
            <v>19:Q1</v>
          </cell>
          <cell r="B70">
            <v>7.07</v>
          </cell>
          <cell r="C70">
            <v>6.71</v>
          </cell>
          <cell r="D70">
            <v>3.5</v>
          </cell>
          <cell r="E70">
            <v>1.89</v>
          </cell>
          <cell r="F70">
            <v>9.5399999999999991</v>
          </cell>
          <cell r="G70">
            <v>7.32</v>
          </cell>
        </row>
        <row r="71">
          <cell r="A71" t="str">
            <v>19:Q2</v>
          </cell>
          <cell r="B71">
            <v>6.93</v>
          </cell>
          <cell r="C71">
            <v>6.86</v>
          </cell>
          <cell r="D71">
            <v>3.43</v>
          </cell>
          <cell r="E71">
            <v>1.9</v>
          </cell>
          <cell r="F71">
            <v>10.01</v>
          </cell>
          <cell r="G71">
            <v>7.25</v>
          </cell>
        </row>
        <row r="72">
          <cell r="A72" t="str">
            <v>19:Q3</v>
          </cell>
          <cell r="B72">
            <v>6.96</v>
          </cell>
          <cell r="C72">
            <v>6.74</v>
          </cell>
          <cell r="D72">
            <v>3.42</v>
          </cell>
          <cell r="E72">
            <v>2.1</v>
          </cell>
          <cell r="F72">
            <v>9.44</v>
          </cell>
          <cell r="G72">
            <v>7.18</v>
          </cell>
        </row>
        <row r="73">
          <cell r="A73" t="str">
            <v>19:Q4</v>
          </cell>
          <cell r="B73">
            <v>6.91</v>
          </cell>
          <cell r="C73">
            <v>6.95</v>
          </cell>
          <cell r="D73">
            <v>3.5</v>
          </cell>
          <cell r="E73">
            <v>2.11</v>
          </cell>
          <cell r="F73">
            <v>9.44</v>
          </cell>
          <cell r="G73">
            <v>7.28</v>
          </cell>
        </row>
        <row r="74">
          <cell r="A74" t="str">
            <v>20:Q1</v>
          </cell>
          <cell r="B74">
            <v>6.89</v>
          </cell>
          <cell r="C74">
            <v>6.84</v>
          </cell>
          <cell r="D74">
            <v>3.48</v>
          </cell>
          <cell r="E74">
            <v>2.02</v>
          </cell>
          <cell r="F74">
            <v>9.0500000000000007</v>
          </cell>
          <cell r="G74">
            <v>7.11</v>
          </cell>
        </row>
        <row r="75">
          <cell r="A75" t="str">
            <v>20:Q2</v>
          </cell>
          <cell r="B75">
            <v>6.29</v>
          </cell>
          <cell r="C75">
            <v>6.2</v>
          </cell>
          <cell r="D75">
            <v>3.1</v>
          </cell>
          <cell r="E75">
            <v>2.0299999999999998</v>
          </cell>
          <cell r="F75">
            <v>6.63</v>
          </cell>
          <cell r="G75">
            <v>6.44</v>
          </cell>
        </row>
        <row r="76">
          <cell r="A76" t="str">
            <v>20:Q3</v>
          </cell>
          <cell r="B76">
            <v>5.79</v>
          </cell>
          <cell r="C76">
            <v>5.7</v>
          </cell>
          <cell r="D76">
            <v>2.54</v>
          </cell>
          <cell r="E76">
            <v>1.73</v>
          </cell>
          <cell r="F76">
            <v>4.54</v>
          </cell>
          <cell r="G76">
            <v>6.53</v>
          </cell>
        </row>
        <row r="77">
          <cell r="A77" t="str">
            <v>20:Q4</v>
          </cell>
          <cell r="B77">
            <v>5.45</v>
          </cell>
          <cell r="C77">
            <v>5.12</v>
          </cell>
          <cell r="D77">
            <v>1.98</v>
          </cell>
          <cell r="E77">
            <v>1.61</v>
          </cell>
          <cell r="F77">
            <v>2.91</v>
          </cell>
          <cell r="G77">
            <v>5.86</v>
          </cell>
        </row>
        <row r="78">
          <cell r="A78" t="str">
            <v>21:Q1</v>
          </cell>
          <cell r="B78">
            <v>5.16</v>
          </cell>
          <cell r="C78">
            <v>4.55</v>
          </cell>
          <cell r="D78">
            <v>1.59</v>
          </cell>
          <cell r="E78">
            <v>1.39</v>
          </cell>
          <cell r="F78">
            <v>1.18</v>
          </cell>
          <cell r="G78">
            <v>5.3</v>
          </cell>
        </row>
        <row r="79">
          <cell r="A79" t="str">
            <v>21:Q2</v>
          </cell>
          <cell r="B79">
            <v>5.08</v>
          </cell>
          <cell r="C79">
            <v>4.3600000000000003</v>
          </cell>
          <cell r="D79">
            <v>1.45</v>
          </cell>
          <cell r="E79">
            <v>1.1399999999999999</v>
          </cell>
          <cell r="F79">
            <v>1.2</v>
          </cell>
          <cell r="G79">
            <v>5.14</v>
          </cell>
        </row>
        <row r="80">
          <cell r="A80" t="str">
            <v>21:Q3</v>
          </cell>
          <cell r="B80">
            <v>5</v>
          </cell>
          <cell r="C80">
            <v>4.3099999999999996</v>
          </cell>
          <cell r="D80">
            <v>1.39</v>
          </cell>
          <cell r="E80">
            <v>1.42</v>
          </cell>
          <cell r="F80">
            <v>1.25</v>
          </cell>
          <cell r="G80">
            <v>4.3899999999999997</v>
          </cell>
        </row>
        <row r="81">
          <cell r="A81" t="str">
            <v>21:Q4</v>
          </cell>
          <cell r="B81">
            <v>4.96</v>
          </cell>
          <cell r="C81">
            <v>4.0999999999999996</v>
          </cell>
          <cell r="D81">
            <v>1.57</v>
          </cell>
          <cell r="E81">
            <v>1.57</v>
          </cell>
          <cell r="F81">
            <v>1.0900000000000001</v>
          </cell>
          <cell r="G81">
            <v>4.33</v>
          </cell>
        </row>
        <row r="82">
          <cell r="A82" t="str">
            <v>22:Q1</v>
          </cell>
          <cell r="B82">
            <v>5.0999999999999996</v>
          </cell>
          <cell r="C82">
            <v>4.2699999999999996</v>
          </cell>
          <cell r="D82">
            <v>1.66</v>
          </cell>
          <cell r="E82">
            <v>1.65</v>
          </cell>
          <cell r="F82">
            <v>1.05</v>
          </cell>
          <cell r="G82">
            <v>4.6500000000000004</v>
          </cell>
        </row>
        <row r="83">
          <cell r="A83" t="str">
            <v>22:Q2</v>
          </cell>
          <cell r="B83">
            <v>5.64</v>
          </cell>
          <cell r="C83">
            <v>4.76</v>
          </cell>
          <cell r="D83">
            <v>1.9</v>
          </cell>
          <cell r="E83">
            <v>2.31</v>
          </cell>
          <cell r="F83">
            <v>1.1299999999999999</v>
          </cell>
          <cell r="G83">
            <v>5.2</v>
          </cell>
        </row>
        <row r="84">
          <cell r="A84" t="str">
            <v>22:Q3</v>
          </cell>
          <cell r="B84">
            <v>6.21</v>
          </cell>
          <cell r="C84">
            <v>5.24</v>
          </cell>
          <cell r="D84">
            <v>2.1</v>
          </cell>
          <cell r="E84">
            <v>2.04</v>
          </cell>
          <cell r="F84">
            <v>1.17</v>
          </cell>
          <cell r="G84">
            <v>5.81</v>
          </cell>
        </row>
        <row r="85">
          <cell r="A85" t="str">
            <v>22:Q4</v>
          </cell>
          <cell r="B85">
            <v>6.64</v>
          </cell>
          <cell r="C85">
            <v>5.87</v>
          </cell>
          <cell r="D85">
            <v>2.25</v>
          </cell>
          <cell r="E85">
            <v>1.95</v>
          </cell>
          <cell r="F85">
            <v>1.18</v>
          </cell>
          <cell r="G85">
            <v>6.33</v>
          </cell>
        </row>
        <row r="86">
          <cell r="A86" t="str">
            <v>23:Q1</v>
          </cell>
          <cell r="B86">
            <v>6.88</v>
          </cell>
          <cell r="C86">
            <v>6.51</v>
          </cell>
          <cell r="D86">
            <v>2.4300000000000002</v>
          </cell>
          <cell r="E86">
            <v>1.94</v>
          </cell>
          <cell r="F86">
            <v>1.06</v>
          </cell>
          <cell r="G86">
            <v>6.67</v>
          </cell>
        </row>
        <row r="87">
          <cell r="A87" t="str">
            <v>23:Q2</v>
          </cell>
          <cell r="B87">
            <v>7.28</v>
          </cell>
          <cell r="C87">
            <v>7.2</v>
          </cell>
          <cell r="D87">
            <v>2.56</v>
          </cell>
          <cell r="E87">
            <v>1.48</v>
          </cell>
          <cell r="F87">
            <v>1.01</v>
          </cell>
          <cell r="G87">
            <v>7.1</v>
          </cell>
        </row>
        <row r="88">
          <cell r="A88" t="str">
            <v>23:Q3</v>
          </cell>
          <cell r="B88">
            <v>7.39</v>
          </cell>
          <cell r="C88">
            <v>8.01</v>
          </cell>
          <cell r="D88">
            <v>2.8</v>
          </cell>
          <cell r="E88">
            <v>1.8</v>
          </cell>
          <cell r="F88">
            <v>0.92</v>
          </cell>
          <cell r="G88">
            <v>7.25</v>
          </cell>
        </row>
        <row r="89">
          <cell r="A89" t="str">
            <v>23:Q4</v>
          </cell>
          <cell r="B89">
            <v>7.69</v>
          </cell>
          <cell r="C89">
            <v>8.52</v>
          </cell>
          <cell r="D89">
            <v>2.99</v>
          </cell>
          <cell r="E89">
            <v>2.0099999999999998</v>
          </cell>
          <cell r="F89">
            <v>0.92</v>
          </cell>
          <cell r="G89">
            <v>7.5</v>
          </cell>
        </row>
        <row r="90">
          <cell r="A90" t="str">
            <v>24:Q1</v>
          </cell>
          <cell r="B90">
            <v>7.94</v>
          </cell>
          <cell r="C90">
            <v>8.93</v>
          </cell>
          <cell r="D90">
            <v>3.24</v>
          </cell>
          <cell r="E90">
            <v>2.14</v>
          </cell>
          <cell r="F90">
            <v>0.98</v>
          </cell>
          <cell r="G90">
            <v>7.55</v>
          </cell>
        </row>
        <row r="91">
          <cell r="A91" t="str">
            <v>24:Q2</v>
          </cell>
          <cell r="B91">
            <v>7.95</v>
          </cell>
          <cell r="C91">
            <v>9.0500000000000007</v>
          </cell>
          <cell r="D91">
            <v>3.35</v>
          </cell>
          <cell r="E91">
            <v>2.13</v>
          </cell>
          <cell r="F91">
            <v>0.92</v>
          </cell>
          <cell r="G91">
            <v>7.48</v>
          </cell>
        </row>
        <row r="92">
          <cell r="A92" t="str">
            <v>24:Q3</v>
          </cell>
          <cell r="B92">
            <v>8.1199999999999992</v>
          </cell>
          <cell r="C92">
            <v>8.7899999999999991</v>
          </cell>
          <cell r="D92">
            <v>3.6</v>
          </cell>
          <cell r="E92">
            <v>2.19</v>
          </cell>
          <cell r="F92">
            <v>0.92</v>
          </cell>
          <cell r="G92">
            <v>7.56</v>
          </cell>
        </row>
        <row r="93">
          <cell r="A93" t="str">
            <v>24:Q4</v>
          </cell>
          <cell r="B93">
            <v>8.08</v>
          </cell>
          <cell r="C93">
            <v>8.9600000000000009</v>
          </cell>
          <cell r="D93">
            <v>3.61</v>
          </cell>
          <cell r="E93">
            <v>2.15</v>
          </cell>
          <cell r="F93">
            <v>0.87</v>
          </cell>
          <cell r="G93">
            <v>7.58</v>
          </cell>
        </row>
        <row r="94">
          <cell r="A94" t="str">
            <v>25:Q1</v>
          </cell>
          <cell r="B94">
            <v>7.99</v>
          </cell>
          <cell r="C94">
            <v>8.75</v>
          </cell>
          <cell r="D94">
            <v>3.71</v>
          </cell>
          <cell r="E94">
            <v>2.29</v>
          </cell>
          <cell r="F94">
            <v>8.19</v>
          </cell>
          <cell r="G94">
            <v>7.52</v>
          </cell>
        </row>
        <row r="95">
          <cell r="A95" t="str">
            <v>25:Q2</v>
          </cell>
          <cell r="B95">
            <v>7.9592174408030667</v>
          </cell>
          <cell r="C95">
            <v>8.5817774180998168</v>
          </cell>
          <cell r="D95">
            <v>3.6760779582749161</v>
          </cell>
          <cell r="E95">
            <v>2.3893120939809944</v>
          </cell>
          <cell r="F95">
            <v>13.033073094715292</v>
          </cell>
          <cell r="G95">
            <v>7.4577130121479147</v>
          </cell>
        </row>
        <row r="96">
          <cell r="A96" t="str">
            <v>25:Q3</v>
          </cell>
          <cell r="B96">
            <v>7.79</v>
          </cell>
          <cell r="C96">
            <v>8.8800000000000008</v>
          </cell>
          <cell r="D96">
            <v>3.62</v>
          </cell>
          <cell r="E96">
            <v>2.2400000000000002</v>
          </cell>
          <cell r="F96">
            <v>14.41</v>
          </cell>
          <cell r="G96">
            <v>7.4</v>
          </cell>
        </row>
        <row r="97">
          <cell r="A97" t="str">
            <v>25:Q4</v>
          </cell>
          <cell r="B97">
            <v>7.7013193481441213</v>
          </cell>
          <cell r="C97">
            <v>8.6858163567614053</v>
          </cell>
          <cell r="D97">
            <v>3.8508933453413272</v>
          </cell>
          <cell r="E97">
            <v>2.2378567575605071</v>
          </cell>
          <cell r="F97">
            <v>16.346498283033551</v>
          </cell>
          <cell r="G97">
            <v>7.2749702356325301</v>
          </cell>
        </row>
        <row r="98">
          <cell r="A98" t="str">
            <v>26:Q1</v>
          </cell>
          <cell r="B98">
            <v>7.72</v>
          </cell>
          <cell r="C98">
            <v>8.61</v>
          </cell>
          <cell r="D98">
            <v>3.76</v>
          </cell>
          <cell r="E98">
            <v>2.3199999999999998</v>
          </cell>
          <cell r="F98">
            <v>11.03</v>
          </cell>
          <cell r="G98">
            <v>7.43</v>
          </cell>
        </row>
      </sheetData>
      <sheetData sheetId="22" refreshError="1"/>
      <sheetData sheetId="23">
        <row r="1">
          <cell r="A1" t="str">
            <v xml:space="preserve">New Seriously Delinquent* Balances by Loan Type </v>
          </cell>
        </row>
        <row r="2">
          <cell r="A2" t="str">
            <v>Percent</v>
          </cell>
        </row>
        <row r="3">
          <cell r="A3" t="str">
            <v>*90 or more days delinquent</v>
          </cell>
          <cell r="E3" t="str">
            <v>Source: New York Fed Consumer Credit Panel/Equifax</v>
          </cell>
        </row>
        <row r="4">
          <cell r="A4" t="str">
            <v>Return to Table of Contents</v>
          </cell>
        </row>
        <row r="5">
          <cell r="B5" t="str">
            <v>AUTO</v>
          </cell>
          <cell r="C5" t="str">
            <v>CC</v>
          </cell>
          <cell r="D5" t="str">
            <v>MORTGAGE</v>
          </cell>
          <cell r="E5" t="str">
            <v>HELOC</v>
          </cell>
          <cell r="F5" t="str">
            <v>STUDENT LOAN</v>
          </cell>
          <cell r="G5" t="str">
            <v>OTHER</v>
          </cell>
        </row>
        <row r="6">
          <cell r="A6" t="str">
            <v>03:Q1</v>
          </cell>
          <cell r="B6">
            <v>2.1791892457674606</v>
          </cell>
          <cell r="C6">
            <v>8.2734844601994908</v>
          </cell>
          <cell r="D6">
            <v>1.4426312396208989</v>
          </cell>
          <cell r="E6">
            <v>0.8050409447037653</v>
          </cell>
          <cell r="G6">
            <v>4.8279040693233499</v>
          </cell>
        </row>
        <row r="7">
          <cell r="A7" t="str">
            <v>03:Q2</v>
          </cell>
          <cell r="B7">
            <v>2.1881880282997934</v>
          </cell>
          <cell r="C7">
            <v>8.4072801431015485</v>
          </cell>
          <cell r="D7">
            <v>1.4983949072586997</v>
          </cell>
          <cell r="E7">
            <v>0.78024263123976045</v>
          </cell>
          <cell r="G7">
            <v>4.9852842067639829</v>
          </cell>
        </row>
        <row r="8">
          <cell r="A8" t="str">
            <v>03:Q3</v>
          </cell>
          <cell r="B8">
            <v>2.1392932829928308</v>
          </cell>
          <cell r="C8">
            <v>8.1726321306881697</v>
          </cell>
          <cell r="D8">
            <v>1.5027409535584235</v>
          </cell>
          <cell r="E8">
            <v>0.70695548040959588</v>
          </cell>
          <cell r="G8">
            <v>5.0611726596789284</v>
          </cell>
        </row>
        <row r="9">
          <cell r="A9" t="str">
            <v>03:Q4</v>
          </cell>
          <cell r="B9">
            <v>2.0443324094168509</v>
          </cell>
          <cell r="C9">
            <v>8.0610196607280784</v>
          </cell>
          <cell r="D9">
            <v>1.4447436421785429</v>
          </cell>
          <cell r="E9">
            <v>0.47355916869744397</v>
          </cell>
          <cell r="G9">
            <v>4.8835082036824797</v>
          </cell>
        </row>
        <row r="10">
          <cell r="A10" t="str">
            <v>04:Q1</v>
          </cell>
          <cell r="B10">
            <v>1.9659106391389125</v>
          </cell>
          <cell r="C10">
            <v>7.7748184707777739</v>
          </cell>
          <cell r="D10">
            <v>1.3375596325862813</v>
          </cell>
          <cell r="E10">
            <v>0.41156217796337419</v>
          </cell>
          <cell r="F10">
            <v>5.7699109216673712</v>
          </cell>
          <cell r="G10">
            <v>4.9829437741882332</v>
          </cell>
        </row>
        <row r="11">
          <cell r="A11" t="str">
            <v>04:Q2</v>
          </cell>
          <cell r="B11">
            <v>1.8215692982685037</v>
          </cell>
          <cell r="C11">
            <v>7.3388917213910538</v>
          </cell>
          <cell r="D11">
            <v>1.2937059620948927</v>
          </cell>
          <cell r="E11">
            <v>0.35712742888096966</v>
          </cell>
          <cell r="F11">
            <v>5.3974633387301267</v>
          </cell>
          <cell r="G11">
            <v>5.1644746935116626</v>
          </cell>
        </row>
        <row r="12">
          <cell r="A12" t="str">
            <v>04:Q3</v>
          </cell>
          <cell r="B12">
            <v>1.7709574776887271</v>
          </cell>
          <cell r="C12">
            <v>7.1366732526250951</v>
          </cell>
          <cell r="D12">
            <v>1.3447181888282516</v>
          </cell>
          <cell r="E12">
            <v>0.34806230584639841</v>
          </cell>
          <cell r="F12">
            <v>5.5867035417735496</v>
          </cell>
          <cell r="G12">
            <v>4.9563272726572203</v>
          </cell>
        </row>
        <row r="13">
          <cell r="A13" t="str">
            <v>04:Q4</v>
          </cell>
          <cell r="B13">
            <v>1.7793620132731398</v>
          </cell>
          <cell r="C13">
            <v>7.0019459383229492</v>
          </cell>
          <cell r="D13">
            <v>1.3600444905720586</v>
          </cell>
          <cell r="E13">
            <v>0.29315984902417763</v>
          </cell>
          <cell r="F13">
            <v>6.0886258452703581</v>
          </cell>
          <cell r="G13">
            <v>4.7975451900115553</v>
          </cell>
        </row>
        <row r="14">
          <cell r="A14" t="str">
            <v>05:Q1</v>
          </cell>
          <cell r="B14">
            <v>1.691132031303122</v>
          </cell>
          <cell r="C14">
            <v>6.6428553084773219</v>
          </cell>
          <cell r="D14">
            <v>1.359988069450039</v>
          </cell>
          <cell r="E14">
            <v>0.39817377664052883</v>
          </cell>
          <cell r="F14">
            <v>6.8072134281778292</v>
          </cell>
          <cell r="G14">
            <v>4.4308515723637738</v>
          </cell>
        </row>
        <row r="15">
          <cell r="A15" t="str">
            <v>05:Q2</v>
          </cell>
          <cell r="B15">
            <v>1.6750560622245785</v>
          </cell>
          <cell r="C15">
            <v>6.3629577780351969</v>
          </cell>
          <cell r="D15">
            <v>1.3684621184205961</v>
          </cell>
          <cell r="E15">
            <v>0.42638881834207182</v>
          </cell>
          <cell r="F15">
            <v>6.8261309107328776</v>
          </cell>
          <cell r="G15">
            <v>4.1060329802474804</v>
          </cell>
        </row>
        <row r="16">
          <cell r="A16" t="str">
            <v>05:Q3</v>
          </cell>
          <cell r="B16">
            <v>1.6621457627801353</v>
          </cell>
          <cell r="C16">
            <v>6.2744367599810236</v>
          </cell>
          <cell r="D16">
            <v>1.3088901912884814</v>
          </cell>
          <cell r="E16">
            <v>0.42919692678629512</v>
          </cell>
          <cell r="F16">
            <v>7.1734092524887796</v>
          </cell>
          <cell r="G16">
            <v>4.2548875967756175</v>
          </cell>
        </row>
        <row r="17">
          <cell r="A17" t="str">
            <v>05:Q4</v>
          </cell>
          <cell r="B17">
            <v>1.6698534168602255</v>
          </cell>
          <cell r="C17">
            <v>5.7920627749452347</v>
          </cell>
          <cell r="D17">
            <v>1.2695267358778861</v>
          </cell>
          <cell r="E17">
            <v>0.3771899251732716</v>
          </cell>
          <cell r="F17">
            <v>6.7048172954429495</v>
          </cell>
          <cell r="G17">
            <v>4.2139815013743229</v>
          </cell>
        </row>
        <row r="18">
          <cell r="A18" t="str">
            <v>06:Q1</v>
          </cell>
          <cell r="B18">
            <v>1.6600516729304757</v>
          </cell>
          <cell r="C18">
            <v>5.5128175467057803</v>
          </cell>
          <cell r="D18">
            <v>1.3158152480796932</v>
          </cell>
          <cell r="E18">
            <v>0.30799268359337728</v>
          </cell>
          <cell r="F18">
            <v>6.6834008253220194</v>
          </cell>
          <cell r="G18">
            <v>4.1496364127018053</v>
          </cell>
        </row>
        <row r="19">
          <cell r="A19" t="str">
            <v>06:Q2</v>
          </cell>
          <cell r="B19">
            <v>1.785888191911015</v>
          </cell>
          <cell r="C19">
            <v>5.6104092081422055</v>
          </cell>
          <cell r="D19">
            <v>1.3064439633154283</v>
          </cell>
          <cell r="E19">
            <v>0.47700800799283666</v>
          </cell>
          <cell r="F19">
            <v>7.1174016478424429</v>
          </cell>
          <cell r="G19">
            <v>4.0020402416934431</v>
          </cell>
        </row>
        <row r="20">
          <cell r="A20" t="str">
            <v>06:Q3</v>
          </cell>
          <cell r="B20">
            <v>2.0164130494423982</v>
          </cell>
          <cell r="C20">
            <v>5.5941602977659359</v>
          </cell>
          <cell r="D20">
            <v>1.458316633807903</v>
          </cell>
          <cell r="E20">
            <v>0.66278980758066997</v>
          </cell>
          <cell r="F20">
            <v>7.350776117256169</v>
          </cell>
          <cell r="G20">
            <v>3.8219519296346074</v>
          </cell>
        </row>
        <row r="21">
          <cell r="A21" t="str">
            <v>06:Q4</v>
          </cell>
          <cell r="B21">
            <v>2.2186587460128457</v>
          </cell>
          <cell r="C21">
            <v>5.829648488659533</v>
          </cell>
          <cell r="D21">
            <v>1.6791256614913688</v>
          </cell>
          <cell r="E21">
            <v>0.78715110564862478</v>
          </cell>
          <cell r="F21">
            <v>7.8786645254485945</v>
          </cell>
          <cell r="G21">
            <v>3.5536824426090741</v>
          </cell>
        </row>
        <row r="22">
          <cell r="A22" t="str">
            <v>07:Q1</v>
          </cell>
          <cell r="B22">
            <v>2.3363660573805367</v>
          </cell>
          <cell r="C22">
            <v>6.1787617825007493</v>
          </cell>
          <cell r="D22">
            <v>1.93730109220863</v>
          </cell>
          <cell r="E22">
            <v>0.97949262304029383</v>
          </cell>
          <cell r="F22">
            <v>8.0543572493032976</v>
          </cell>
          <cell r="G22">
            <v>3.5866156536252234</v>
          </cell>
        </row>
        <row r="23">
          <cell r="A23" t="str">
            <v>07:Q2</v>
          </cell>
          <cell r="B23">
            <v>2.3630840619356346</v>
          </cell>
          <cell r="C23">
            <v>6.3604681814765724</v>
          </cell>
          <cell r="D23">
            <v>2.4036448492899805</v>
          </cell>
          <cell r="E23">
            <v>0.9935442350092869</v>
          </cell>
          <cell r="F23">
            <v>8.1051958307112795</v>
          </cell>
          <cell r="G23">
            <v>3.9253162855745898</v>
          </cell>
        </row>
        <row r="24">
          <cell r="A24" t="str">
            <v>07:Q3</v>
          </cell>
          <cell r="B24">
            <v>2.3402593118822068</v>
          </cell>
          <cell r="C24">
            <v>6.5245527742987486</v>
          </cell>
          <cell r="D24">
            <v>2.8929909075783251</v>
          </cell>
          <cell r="E24">
            <v>1.4469415122533422</v>
          </cell>
          <cell r="F24">
            <v>7.705380994828384</v>
          </cell>
          <cell r="G24">
            <v>4.1243879855630121</v>
          </cell>
        </row>
        <row r="25">
          <cell r="A25" t="str">
            <v>07:Q4</v>
          </cell>
          <cell r="B25">
            <v>2.4406888759085721</v>
          </cell>
          <cell r="C25">
            <v>6.7452654948820054</v>
          </cell>
          <cell r="D25">
            <v>3.681625118559352</v>
          </cell>
          <cell r="E25">
            <v>1.8179586238683321</v>
          </cell>
          <cell r="F25">
            <v>7.8542604135865375</v>
          </cell>
          <cell r="G25">
            <v>4.6118907518637746</v>
          </cell>
        </row>
        <row r="26">
          <cell r="A26" t="str">
            <v>08:Q1</v>
          </cell>
          <cell r="B26">
            <v>2.7118030994715427</v>
          </cell>
          <cell r="C26">
            <v>7.2660433891631211</v>
          </cell>
          <cell r="D26">
            <v>4.7125062520196987</v>
          </cell>
          <cell r="E26">
            <v>2.4079306135792828</v>
          </cell>
          <cell r="F26">
            <v>7.7224668252693442</v>
          </cell>
          <cell r="G26">
            <v>5.0716377564298014</v>
          </cell>
        </row>
        <row r="27">
          <cell r="A27" t="str">
            <v>08:Q2</v>
          </cell>
          <cell r="B27">
            <v>2.8483948053630268</v>
          </cell>
          <cell r="C27">
            <v>7.6610448149241339</v>
          </cell>
          <cell r="D27">
            <v>5.321794064060815</v>
          </cell>
          <cell r="E27">
            <v>2.9754794697048599</v>
          </cell>
          <cell r="F27">
            <v>7.31774395577626</v>
          </cell>
          <cell r="G27">
            <v>5.1906073205416003</v>
          </cell>
        </row>
        <row r="28">
          <cell r="A28" t="str">
            <v>08:Q3</v>
          </cell>
          <cell r="B28">
            <v>3.1456783510915938</v>
          </cell>
          <cell r="C28">
            <v>8.1290307865745</v>
          </cell>
          <cell r="D28">
            <v>6.0426629944322157</v>
          </cell>
          <cell r="E28">
            <v>3.3497790710575321</v>
          </cell>
          <cell r="F28">
            <v>7.5709263676558853</v>
          </cell>
          <cell r="G28">
            <v>6.3427738351770468</v>
          </cell>
        </row>
        <row r="29">
          <cell r="A29" t="str">
            <v>08:Q4</v>
          </cell>
          <cell r="B29">
            <v>3.2857859243174357</v>
          </cell>
          <cell r="C29">
            <v>8.7042189118748663</v>
          </cell>
          <cell r="D29">
            <v>6.653092571074394</v>
          </cell>
          <cell r="E29">
            <v>4.153671576605471</v>
          </cell>
          <cell r="F29">
            <v>7.3777621937843127</v>
          </cell>
          <cell r="G29">
            <v>7.0573297486279882</v>
          </cell>
        </row>
        <row r="30">
          <cell r="A30" t="str">
            <v>09:Q1</v>
          </cell>
          <cell r="B30">
            <v>3.3574305392506312</v>
          </cell>
          <cell r="C30">
            <v>9.5603260552500604</v>
          </cell>
          <cell r="D30">
            <v>7.3878925493547882</v>
          </cell>
          <cell r="E30">
            <v>4.735698305415152</v>
          </cell>
          <cell r="F30">
            <v>7.3235989990154096</v>
          </cell>
          <cell r="G30">
            <v>7.6537511303569765</v>
          </cell>
        </row>
        <row r="31">
          <cell r="A31" t="str">
            <v>09:Q2</v>
          </cell>
          <cell r="B31">
            <v>3.4768885861809533</v>
          </cell>
          <cell r="C31">
            <v>10.196476671881657</v>
          </cell>
          <cell r="D31">
            <v>8.2623034643292304</v>
          </cell>
          <cell r="E31">
            <v>4.9809029043212192</v>
          </cell>
          <cell r="F31">
            <v>7.6086259439099333</v>
          </cell>
          <cell r="G31">
            <v>8.0839667165015481</v>
          </cell>
        </row>
        <row r="32">
          <cell r="A32" t="str">
            <v>09:Q3</v>
          </cell>
          <cell r="B32">
            <v>3.3434858532186693</v>
          </cell>
          <cell r="C32">
            <v>10.507395578628621</v>
          </cell>
          <cell r="D32">
            <v>8.3526906837658395</v>
          </cell>
          <cell r="E32">
            <v>5.0508199049928741</v>
          </cell>
          <cell r="F32">
            <v>7.645880540166897</v>
          </cell>
          <cell r="G32">
            <v>7.7716957135303275</v>
          </cell>
        </row>
        <row r="33">
          <cell r="A33" t="str">
            <v>09:Q4</v>
          </cell>
          <cell r="B33">
            <v>3.2438041887768989</v>
          </cell>
          <cell r="C33">
            <v>10.956993905053531</v>
          </cell>
          <cell r="D33">
            <v>8.3046577565009567</v>
          </cell>
          <cell r="E33">
            <v>4.543015077202897</v>
          </cell>
          <cell r="F33">
            <v>7.929107245620834</v>
          </cell>
          <cell r="G33">
            <v>7.7189771546895605</v>
          </cell>
        </row>
        <row r="34">
          <cell r="A34" t="str">
            <v>10:Q1</v>
          </cell>
          <cell r="B34">
            <v>3.0975764611376868</v>
          </cell>
          <cell r="C34">
            <v>10.800359841001722</v>
          </cell>
          <cell r="D34">
            <v>7.6976916093053074</v>
          </cell>
          <cell r="E34">
            <v>3.9571201652582473</v>
          </cell>
          <cell r="F34">
            <v>8.1986649920078065</v>
          </cell>
          <cell r="G34">
            <v>7.5009922432554044</v>
          </cell>
        </row>
        <row r="35">
          <cell r="A35" t="str">
            <v>10:Q2</v>
          </cell>
          <cell r="B35">
            <v>2.8538460279233342</v>
          </cell>
          <cell r="C35">
            <v>10.634667769940236</v>
          </cell>
          <cell r="D35">
            <v>6.9548227896856218</v>
          </cell>
          <cell r="E35">
            <v>3.7815886825161407</v>
          </cell>
          <cell r="F35">
            <v>8.6272680492323754</v>
          </cell>
          <cell r="G35">
            <v>7.3006834669721936</v>
          </cell>
        </row>
        <row r="36">
          <cell r="A36" t="str">
            <v>10:Q3</v>
          </cell>
          <cell r="B36">
            <v>2.5547735212228124</v>
          </cell>
          <cell r="C36">
            <v>10.23156047520688</v>
          </cell>
          <cell r="D36">
            <v>6.4942495751112217</v>
          </cell>
          <cell r="E36">
            <v>3.262519533131683</v>
          </cell>
          <cell r="F36">
            <v>8.6885201167845096</v>
          </cell>
          <cell r="G36">
            <v>6.8789497944330673</v>
          </cell>
        </row>
        <row r="37">
          <cell r="A37" t="str">
            <v>10:Q4</v>
          </cell>
          <cell r="B37">
            <v>2.3113559291566004</v>
          </cell>
          <cell r="C37">
            <v>9.2051074476649148</v>
          </cell>
          <cell r="D37">
            <v>5.8364039780940864</v>
          </cell>
          <cell r="E37">
            <v>3.1229453102897637</v>
          </cell>
          <cell r="F37">
            <v>8.4598257480004957</v>
          </cell>
          <cell r="G37">
            <v>6.5130285650073105</v>
          </cell>
        </row>
        <row r="38">
          <cell r="A38" t="str">
            <v>11:Q1</v>
          </cell>
          <cell r="B38">
            <v>2.0259897936839528</v>
          </cell>
          <cell r="C38">
            <v>7.9896907193777098</v>
          </cell>
          <cell r="D38">
            <v>5.2932289931905014</v>
          </cell>
          <cell r="E38">
            <v>3.002755186967347</v>
          </cell>
          <cell r="F38">
            <v>8.489839259295346</v>
          </cell>
          <cell r="G38">
            <v>5.9121741022525685</v>
          </cell>
        </row>
        <row r="39">
          <cell r="A39" t="str">
            <v>11:Q2</v>
          </cell>
          <cell r="B39">
            <v>1.8578035102637942</v>
          </cell>
          <cell r="C39">
            <v>6.9040344820102888</v>
          </cell>
          <cell r="D39">
            <v>4.8267121274348748</v>
          </cell>
          <cell r="E39">
            <v>2.7010500144151774</v>
          </cell>
          <cell r="F39">
            <v>8.59900828014732</v>
          </cell>
          <cell r="G39">
            <v>5.6128287689624692</v>
          </cell>
        </row>
        <row r="40">
          <cell r="A40" t="str">
            <v>11:Q3</v>
          </cell>
          <cell r="B40">
            <v>1.8062663428367129</v>
          </cell>
          <cell r="C40">
            <v>6.2610852211087931</v>
          </cell>
          <cell r="D40">
            <v>4.6429358005732677</v>
          </cell>
          <cell r="E40">
            <v>2.9672801056468261</v>
          </cell>
          <cell r="F40">
            <v>8.8727938806304376</v>
          </cell>
          <cell r="G40">
            <v>5.1051374312559989</v>
          </cell>
        </row>
        <row r="41">
          <cell r="A41" t="str">
            <v>11:Q4</v>
          </cell>
          <cell r="B41">
            <v>1.6885637211168154</v>
          </cell>
          <cell r="C41">
            <v>5.8708127243800723</v>
          </cell>
          <cell r="D41">
            <v>4.5841241879191186</v>
          </cell>
          <cell r="E41">
            <v>3.0553049161867718</v>
          </cell>
          <cell r="F41">
            <v>9.3092861842558765</v>
          </cell>
          <cell r="G41">
            <v>4.6352881036062374</v>
          </cell>
        </row>
        <row r="42">
          <cell r="A42" t="str">
            <v>12:Q1</v>
          </cell>
          <cell r="B42">
            <v>1.6267370134929613</v>
          </cell>
          <cell r="C42">
            <v>5.4112819430268111</v>
          </cell>
          <cell r="D42">
            <v>4.4087048872725951</v>
          </cell>
          <cell r="E42">
            <v>2.7666225051337294</v>
          </cell>
          <cell r="F42">
            <v>9.3893787193369533</v>
          </cell>
          <cell r="G42">
            <v>4.3717504667803846</v>
          </cell>
        </row>
        <row r="43">
          <cell r="A43" t="str">
            <v>12:Q2</v>
          </cell>
          <cell r="B43">
            <v>1.596907822377363</v>
          </cell>
          <cell r="C43">
            <v>5.1918713954792706</v>
          </cell>
          <cell r="D43">
            <v>4.1828000115769477</v>
          </cell>
          <cell r="E43">
            <v>2.697960179773955</v>
          </cell>
          <cell r="F43">
            <v>9.8360239211690228</v>
          </cell>
          <cell r="G43">
            <v>4.0640339023353178</v>
          </cell>
        </row>
        <row r="44">
          <cell r="A44" t="str">
            <v>12:Q3</v>
          </cell>
          <cell r="B44">
            <v>1.5168733337039799</v>
          </cell>
          <cell r="C44">
            <v>4.8538187169797755</v>
          </cell>
          <cell r="D44">
            <v>3.8770311067912955</v>
          </cell>
          <cell r="E44">
            <v>2.3950819260436256</v>
          </cell>
          <cell r="F44">
            <v>10.306620468891557</v>
          </cell>
          <cell r="G44">
            <v>3.9825311448488443</v>
          </cell>
        </row>
        <row r="45">
          <cell r="A45" t="str">
            <v>12:Q4</v>
          </cell>
          <cell r="B45">
            <v>1.5234548698042922</v>
          </cell>
          <cell r="C45">
            <v>4.5082997416817081</v>
          </cell>
          <cell r="D45">
            <v>3.4846633994010183</v>
          </cell>
          <cell r="E45">
            <v>1.8749118455774558</v>
          </cell>
          <cell r="F45">
            <v>10.278291557611404</v>
          </cell>
          <cell r="G45">
            <v>3.8869314790688732</v>
          </cell>
        </row>
        <row r="46">
          <cell r="A46" t="str">
            <v>13:Q1</v>
          </cell>
          <cell r="B46">
            <v>1.5710247648683593</v>
          </cell>
          <cell r="C46">
            <v>4.4131694247647317</v>
          </cell>
          <cell r="D46">
            <v>3.1755272785592417</v>
          </cell>
          <cell r="E46">
            <v>1.8113671683477224</v>
          </cell>
          <cell r="F46">
            <v>10.53971347211565</v>
          </cell>
          <cell r="G46">
            <v>3.9933496290636374</v>
          </cell>
        </row>
        <row r="47">
          <cell r="A47" t="str">
            <v>13:Q2</v>
          </cell>
          <cell r="B47">
            <v>1.6281277498787483</v>
          </cell>
          <cell r="C47">
            <v>4.2818563059350518</v>
          </cell>
          <cell r="D47">
            <v>2.9919178480318673</v>
          </cell>
          <cell r="E47">
            <v>1.647875553499409</v>
          </cell>
          <cell r="F47">
            <v>9.9511059757067652</v>
          </cell>
          <cell r="G47">
            <v>4.0253938088603824</v>
          </cell>
        </row>
        <row r="48">
          <cell r="A48" t="str">
            <v>13:Q3</v>
          </cell>
          <cell r="B48">
            <v>1.6309442818113029</v>
          </cell>
          <cell r="C48">
            <v>4.0295679498284995</v>
          </cell>
          <cell r="D48">
            <v>2.740519757077494</v>
          </cell>
          <cell r="E48">
            <v>1.4813259540323562</v>
          </cell>
          <cell r="F48">
            <v>9.7837818908911078</v>
          </cell>
          <cell r="G48">
            <v>3.9118811094557615</v>
          </cell>
        </row>
        <row r="49">
          <cell r="A49" t="str">
            <v>13:Q4</v>
          </cell>
          <cell r="B49">
            <v>1.5757634779503611</v>
          </cell>
          <cell r="C49">
            <v>3.9094952024905498</v>
          </cell>
          <cell r="D49">
            <v>2.5379991009631135</v>
          </cell>
          <cell r="E49">
            <v>1.5093688828448522</v>
          </cell>
          <cell r="F49">
            <v>10.212974781434445</v>
          </cell>
          <cell r="G49">
            <v>3.9342202972826397</v>
          </cell>
        </row>
        <row r="50">
          <cell r="A50" t="str">
            <v>14:Q1</v>
          </cell>
          <cell r="B50">
            <v>1.5561692062586028</v>
          </cell>
          <cell r="C50">
            <v>3.8699217455810326</v>
          </cell>
          <cell r="D50">
            <v>2.3275378724476292</v>
          </cell>
          <cell r="E50">
            <v>1.7282168394809319</v>
          </cell>
          <cell r="F50">
            <v>10.208126721530494</v>
          </cell>
          <cell r="G50">
            <v>3.8240364480346511</v>
          </cell>
        </row>
        <row r="51">
          <cell r="A51" t="str">
            <v>14:Q2</v>
          </cell>
          <cell r="B51">
            <v>1.6120248868582094</v>
          </cell>
          <cell r="C51">
            <v>3.7387121860399155</v>
          </cell>
          <cell r="D51">
            <v>2.1082392008140518</v>
          </cell>
          <cell r="E51">
            <v>1.617939615260177</v>
          </cell>
          <cell r="F51">
            <v>10.333234937619677</v>
          </cell>
          <cell r="G51">
            <v>3.8067476333842212</v>
          </cell>
        </row>
        <row r="52">
          <cell r="A52" t="str">
            <v>14:Q3</v>
          </cell>
          <cell r="B52">
            <v>1.729162589501309</v>
          </cell>
          <cell r="C52">
            <v>3.8497269240496803</v>
          </cell>
          <cell r="D52">
            <v>1.9381225354078595</v>
          </cell>
          <cell r="E52">
            <v>1.5765156930887461</v>
          </cell>
          <cell r="F52">
            <v>10.242381923830097</v>
          </cell>
          <cell r="G52">
            <v>3.8481645882544742</v>
          </cell>
        </row>
        <row r="53">
          <cell r="A53" t="str">
            <v>14:Q4</v>
          </cell>
          <cell r="B53">
            <v>1.8789237083674057</v>
          </cell>
          <cell r="C53">
            <v>3.9197799035643293</v>
          </cell>
          <cell r="D53">
            <v>1.8112371144384489</v>
          </cell>
          <cell r="E53">
            <v>1.5113930708475316</v>
          </cell>
          <cell r="F53">
            <v>10.128662172538663</v>
          </cell>
          <cell r="G53">
            <v>3.8213064125663507</v>
          </cell>
        </row>
        <row r="54">
          <cell r="A54" t="str">
            <v>15:Q1</v>
          </cell>
          <cell r="B54">
            <v>1.9572264584170371</v>
          </cell>
          <cell r="C54">
            <v>3.7583352353339721</v>
          </cell>
          <cell r="D54">
            <v>1.7036553302901645</v>
          </cell>
          <cell r="E54">
            <v>1.2230610071772698</v>
          </cell>
          <cell r="F54">
            <v>10.115807259763253</v>
          </cell>
          <cell r="G54">
            <v>3.9612725575549979</v>
          </cell>
        </row>
        <row r="55">
          <cell r="A55" t="str">
            <v>15:Q2</v>
          </cell>
          <cell r="B55">
            <v>2.0025678547938179</v>
          </cell>
          <cell r="C55">
            <v>3.804532151106427</v>
          </cell>
          <cell r="D55">
            <v>1.6478824779071426</v>
          </cell>
          <cell r="E55">
            <v>1.193583275228693</v>
          </cell>
          <cell r="F55">
            <v>10.266673415927317</v>
          </cell>
          <cell r="G55">
            <v>4.0358351089450535</v>
          </cell>
        </row>
        <row r="56">
          <cell r="A56" t="str">
            <v>15:Q3</v>
          </cell>
          <cell r="B56">
            <v>2.036137408773925</v>
          </cell>
          <cell r="C56">
            <v>3.850217528178665</v>
          </cell>
          <cell r="D56">
            <v>1.6270971863354293</v>
          </cell>
          <cell r="E56">
            <v>0.98720128124570694</v>
          </cell>
          <cell r="F56">
            <v>10.182901644954194</v>
          </cell>
          <cell r="G56">
            <v>4.043820542804661</v>
          </cell>
        </row>
        <row r="57">
          <cell r="A57" t="str">
            <v>15:Q4</v>
          </cell>
          <cell r="B57">
            <v>2.0853179425630546</v>
          </cell>
          <cell r="C57">
            <v>3.7162253594459904</v>
          </cell>
          <cell r="D57">
            <v>1.5485499941815097</v>
          </cell>
          <cell r="E57">
            <v>0.96927992380538353</v>
          </cell>
          <cell r="F57">
            <v>10.039906222974999</v>
          </cell>
          <cell r="G57">
            <v>4.026192650956542</v>
          </cell>
        </row>
        <row r="58">
          <cell r="A58" t="str">
            <v>16:Q1</v>
          </cell>
          <cell r="B58">
            <v>2.1768624108835439</v>
          </cell>
          <cell r="C58">
            <v>3.6933168997384787</v>
          </cell>
          <cell r="D58">
            <v>1.4918732487096975</v>
          </cell>
          <cell r="E58">
            <v>0.93981181480056253</v>
          </cell>
          <cell r="F58">
            <v>9.7193223171850054</v>
          </cell>
          <cell r="G58">
            <v>4.0625096629749473</v>
          </cell>
        </row>
        <row r="59">
          <cell r="A59" t="str">
            <v>16:Q2</v>
          </cell>
          <cell r="B59">
            <v>2.1813444069308607</v>
          </cell>
          <cell r="C59">
            <v>3.5108722854875443</v>
          </cell>
          <cell r="D59">
            <v>1.4053373530126321</v>
          </cell>
          <cell r="E59">
            <v>0.95722311806240579</v>
          </cell>
          <cell r="F59">
            <v>9.4256492892530428</v>
          </cell>
          <cell r="G59">
            <v>4.0106110059018407</v>
          </cell>
        </row>
        <row r="60">
          <cell r="A60" t="str">
            <v>16:Q3</v>
          </cell>
          <cell r="B60">
            <v>2.2106884555757969</v>
          </cell>
          <cell r="C60">
            <v>3.5087164677876848</v>
          </cell>
          <cell r="D60">
            <v>1.2872027375767778</v>
          </cell>
          <cell r="E60">
            <v>1.0165396951372143</v>
          </cell>
          <cell r="F60">
            <v>9.5346175848660728</v>
          </cell>
          <cell r="G60">
            <v>4.1596539136054851</v>
          </cell>
        </row>
        <row r="61">
          <cell r="A61" t="str">
            <v>16:Q4</v>
          </cell>
          <cell r="B61">
            <v>2.2488776893428901</v>
          </cell>
          <cell r="C61">
            <v>3.707913499811256</v>
          </cell>
          <cell r="D61">
            <v>1.2867631932421941</v>
          </cell>
          <cell r="E61">
            <v>1.1261289523161264</v>
          </cell>
          <cell r="F61">
            <v>9.4209654211744454</v>
          </cell>
          <cell r="G61">
            <v>4.3981480595045888</v>
          </cell>
        </row>
        <row r="62">
          <cell r="A62" t="str">
            <v>17:Q1</v>
          </cell>
          <cell r="B62">
            <v>2.3013349932174147</v>
          </cell>
          <cell r="C62">
            <v>4.0765883166805894</v>
          </cell>
          <cell r="D62">
            <v>1.2418824026090487</v>
          </cell>
          <cell r="E62">
            <v>0.97368469480844444</v>
          </cell>
          <cell r="F62">
            <v>9.6377986097061576</v>
          </cell>
          <cell r="G62">
            <v>4.4618275917291825</v>
          </cell>
        </row>
        <row r="63">
          <cell r="A63" t="str">
            <v>17:Q2</v>
          </cell>
          <cell r="B63">
            <v>2.31</v>
          </cell>
          <cell r="C63">
            <v>4.42</v>
          </cell>
          <cell r="D63">
            <v>1.24</v>
          </cell>
          <cell r="E63">
            <v>0.87</v>
          </cell>
          <cell r="F63">
            <v>9.73</v>
          </cell>
          <cell r="G63">
            <v>4.6500000000000004</v>
          </cell>
        </row>
        <row r="64">
          <cell r="A64" t="str">
            <v>17:Q3</v>
          </cell>
          <cell r="B64">
            <v>2.36</v>
          </cell>
          <cell r="C64">
            <v>4.5999999999999996</v>
          </cell>
          <cell r="D64">
            <v>1.24</v>
          </cell>
          <cell r="E64">
            <v>0.92</v>
          </cell>
          <cell r="F64">
            <v>9.64</v>
          </cell>
          <cell r="G64">
            <v>4.66</v>
          </cell>
        </row>
        <row r="65">
          <cell r="A65" t="str">
            <v>17:Q4</v>
          </cell>
          <cell r="B65">
            <v>2.33</v>
          </cell>
          <cell r="C65">
            <v>4.6399999999999997</v>
          </cell>
          <cell r="D65">
            <v>1.1399999999999999</v>
          </cell>
          <cell r="E65">
            <v>0.9</v>
          </cell>
          <cell r="F65">
            <v>9.2899999618530273</v>
          </cell>
          <cell r="G65">
            <v>4.59</v>
          </cell>
        </row>
        <row r="66">
          <cell r="A66" t="str">
            <v>18:Q1</v>
          </cell>
          <cell r="B66">
            <v>2.29</v>
          </cell>
          <cell r="C66">
            <v>4.72</v>
          </cell>
          <cell r="D66">
            <v>1.1299999999999999</v>
          </cell>
          <cell r="E66">
            <v>0.99</v>
          </cell>
          <cell r="F66">
            <v>8.89</v>
          </cell>
          <cell r="G66">
            <v>4.63</v>
          </cell>
        </row>
        <row r="67">
          <cell r="A67" t="str">
            <v>18:Q2</v>
          </cell>
          <cell r="B67">
            <v>2.34</v>
          </cell>
          <cell r="C67">
            <v>4.76</v>
          </cell>
          <cell r="D67">
            <v>1.18</v>
          </cell>
          <cell r="E67">
            <v>1.1399999999999999</v>
          </cell>
          <cell r="F67">
            <v>8.59</v>
          </cell>
          <cell r="G67">
            <v>4.75</v>
          </cell>
        </row>
        <row r="68">
          <cell r="A68" t="str">
            <v>18:Q3</v>
          </cell>
          <cell r="B68">
            <v>2.2999999999999998</v>
          </cell>
          <cell r="C68">
            <v>4.8</v>
          </cell>
          <cell r="D68">
            <v>1.18</v>
          </cell>
          <cell r="E68">
            <v>0.99</v>
          </cell>
          <cell r="F68">
            <v>9.07</v>
          </cell>
          <cell r="G68">
            <v>4.88</v>
          </cell>
        </row>
        <row r="69">
          <cell r="A69" t="str">
            <v>18:Q4</v>
          </cell>
          <cell r="B69">
            <v>2.36</v>
          </cell>
          <cell r="C69">
            <v>4.99</v>
          </cell>
          <cell r="D69">
            <v>1.19</v>
          </cell>
          <cell r="E69">
            <v>0.81</v>
          </cell>
          <cell r="F69">
            <v>8.94</v>
          </cell>
          <cell r="G69">
            <v>4.8899999999999997</v>
          </cell>
        </row>
        <row r="70">
          <cell r="A70" t="str">
            <v>19:Q1</v>
          </cell>
          <cell r="B70">
            <v>2.36</v>
          </cell>
          <cell r="C70">
            <v>5.04</v>
          </cell>
          <cell r="D70">
            <v>1.1000000000000001</v>
          </cell>
          <cell r="E70">
            <v>0.85</v>
          </cell>
          <cell r="F70">
            <v>9.3800000000000008</v>
          </cell>
          <cell r="G70">
            <v>4.88</v>
          </cell>
        </row>
        <row r="71">
          <cell r="A71" t="str">
            <v>19:Q2</v>
          </cell>
          <cell r="B71">
            <v>2.34</v>
          </cell>
          <cell r="C71">
            <v>5.17</v>
          </cell>
          <cell r="D71">
            <v>1.04</v>
          </cell>
          <cell r="E71">
            <v>0.72</v>
          </cell>
          <cell r="F71">
            <v>9.89</v>
          </cell>
          <cell r="G71">
            <v>4.7699999999999996</v>
          </cell>
        </row>
        <row r="72">
          <cell r="A72" t="str">
            <v>19:Q3</v>
          </cell>
          <cell r="B72">
            <v>2.34</v>
          </cell>
          <cell r="C72">
            <v>5.16</v>
          </cell>
          <cell r="D72">
            <v>0.99</v>
          </cell>
          <cell r="E72">
            <v>0.83</v>
          </cell>
          <cell r="F72">
            <v>9.26</v>
          </cell>
          <cell r="G72">
            <v>4.67</v>
          </cell>
        </row>
        <row r="73">
          <cell r="A73" t="str">
            <v>19:Q4</v>
          </cell>
          <cell r="B73">
            <v>2.36</v>
          </cell>
          <cell r="C73">
            <v>5.32</v>
          </cell>
          <cell r="D73">
            <v>1.1000000000000001</v>
          </cell>
          <cell r="E73">
            <v>0.85</v>
          </cell>
          <cell r="F73">
            <v>9.2100000000000009</v>
          </cell>
          <cell r="G73">
            <v>4.7</v>
          </cell>
        </row>
        <row r="74">
          <cell r="A74" t="str">
            <v>20:Q1</v>
          </cell>
          <cell r="B74">
            <v>2.37</v>
          </cell>
          <cell r="C74">
            <v>5.31</v>
          </cell>
          <cell r="D74">
            <v>1.17</v>
          </cell>
          <cell r="E74">
            <v>0.77</v>
          </cell>
          <cell r="F74">
            <v>8.8699999999999992</v>
          </cell>
          <cell r="G74">
            <v>4.74</v>
          </cell>
        </row>
        <row r="75">
          <cell r="A75" t="str">
            <v>20:Q2</v>
          </cell>
          <cell r="B75">
            <v>2.2599999999999998</v>
          </cell>
          <cell r="C75">
            <v>5.05</v>
          </cell>
          <cell r="D75">
            <v>1.08</v>
          </cell>
          <cell r="E75">
            <v>0.78</v>
          </cell>
          <cell r="F75">
            <v>6.48</v>
          </cell>
          <cell r="G75">
            <v>4.59</v>
          </cell>
        </row>
        <row r="76">
          <cell r="A76" t="str">
            <v>20:Q3</v>
          </cell>
          <cell r="B76">
            <v>2.09</v>
          </cell>
          <cell r="C76">
            <v>4.7300000000000004</v>
          </cell>
          <cell r="D76">
            <v>0.96</v>
          </cell>
          <cell r="E76">
            <v>0.69</v>
          </cell>
          <cell r="F76">
            <v>4.3600000000000003</v>
          </cell>
          <cell r="G76">
            <v>4.1399999999999997</v>
          </cell>
        </row>
        <row r="77">
          <cell r="A77" t="str">
            <v>20:Q4</v>
          </cell>
          <cell r="B77">
            <v>1.84</v>
          </cell>
          <cell r="C77">
            <v>4.12</v>
          </cell>
          <cell r="D77">
            <v>0.65</v>
          </cell>
          <cell r="E77">
            <v>0.59</v>
          </cell>
          <cell r="F77">
            <v>2.76</v>
          </cell>
          <cell r="G77">
            <v>3.65</v>
          </cell>
        </row>
        <row r="78">
          <cell r="A78" t="str">
            <v>21:Q1</v>
          </cell>
          <cell r="B78">
            <v>1.72</v>
          </cell>
          <cell r="C78">
            <v>3.78</v>
          </cell>
          <cell r="D78">
            <v>0.42</v>
          </cell>
          <cell r="E78">
            <v>0.5</v>
          </cell>
          <cell r="F78">
            <v>1.02</v>
          </cell>
          <cell r="G78">
            <v>3.25</v>
          </cell>
        </row>
        <row r="79">
          <cell r="A79" t="str">
            <v>21:Q2</v>
          </cell>
          <cell r="B79">
            <v>1.61</v>
          </cell>
          <cell r="C79">
            <v>3.39</v>
          </cell>
          <cell r="D79">
            <v>0.33</v>
          </cell>
          <cell r="E79">
            <v>0.35</v>
          </cell>
          <cell r="F79">
            <v>1.02</v>
          </cell>
          <cell r="G79">
            <v>2.88</v>
          </cell>
        </row>
        <row r="80">
          <cell r="A80" t="str">
            <v>21:Q3</v>
          </cell>
          <cell r="B80">
            <v>1.57</v>
          </cell>
          <cell r="C80">
            <v>3.24</v>
          </cell>
          <cell r="D80">
            <v>0.27</v>
          </cell>
          <cell r="E80">
            <v>0.25</v>
          </cell>
          <cell r="F80">
            <v>1.08</v>
          </cell>
          <cell r="G80">
            <v>2.84</v>
          </cell>
        </row>
        <row r="81">
          <cell r="A81" t="str">
            <v>21:Q4</v>
          </cell>
          <cell r="B81">
            <v>1.56</v>
          </cell>
          <cell r="C81">
            <v>3.22</v>
          </cell>
          <cell r="D81">
            <v>0.28999999999999998</v>
          </cell>
          <cell r="E81">
            <v>0.26</v>
          </cell>
          <cell r="F81">
            <v>1.0900000000000001</v>
          </cell>
          <cell r="G81">
            <v>2.9</v>
          </cell>
        </row>
        <row r="82">
          <cell r="A82" t="str">
            <v>22:Q1</v>
          </cell>
          <cell r="B82">
            <v>1.61</v>
          </cell>
          <cell r="C82">
            <v>3.04</v>
          </cell>
          <cell r="D82">
            <v>0.34</v>
          </cell>
          <cell r="E82">
            <v>0.26</v>
          </cell>
          <cell r="F82">
            <v>1.05</v>
          </cell>
          <cell r="G82">
            <v>2.88</v>
          </cell>
        </row>
        <row r="83">
          <cell r="A83" t="str">
            <v>22:Q2</v>
          </cell>
          <cell r="B83">
            <v>1.81</v>
          </cell>
          <cell r="C83">
            <v>3.35</v>
          </cell>
          <cell r="D83">
            <v>0.44</v>
          </cell>
          <cell r="E83">
            <v>0.32</v>
          </cell>
          <cell r="F83">
            <v>0.98393562473819018</v>
          </cell>
          <cell r="G83">
            <v>3.21</v>
          </cell>
        </row>
        <row r="84">
          <cell r="A84" t="str">
            <v>22:Q3</v>
          </cell>
          <cell r="B84">
            <v>2.02</v>
          </cell>
          <cell r="C84">
            <v>3.69</v>
          </cell>
          <cell r="D84">
            <v>0.5</v>
          </cell>
          <cell r="E84">
            <v>0.51</v>
          </cell>
          <cell r="F84">
            <v>1.04</v>
          </cell>
          <cell r="G84">
            <v>3.55</v>
          </cell>
        </row>
        <row r="85">
          <cell r="A85" t="str">
            <v>22:Q4</v>
          </cell>
          <cell r="B85">
            <v>2.2200000000000002</v>
          </cell>
          <cell r="C85">
            <v>4.01</v>
          </cell>
          <cell r="D85">
            <v>0.56999999999999995</v>
          </cell>
          <cell r="E85">
            <v>0.51</v>
          </cell>
          <cell r="F85">
            <v>1.02</v>
          </cell>
          <cell r="G85">
            <v>3.96</v>
          </cell>
        </row>
        <row r="86">
          <cell r="A86" t="str">
            <v>23:Q1</v>
          </cell>
          <cell r="B86">
            <v>2.33</v>
          </cell>
          <cell r="C86">
            <v>4.57</v>
          </cell>
          <cell r="D86">
            <v>0.59</v>
          </cell>
          <cell r="E86">
            <v>0.48</v>
          </cell>
          <cell r="F86">
            <v>0.94</v>
          </cell>
          <cell r="G86">
            <v>4.3499999999999996</v>
          </cell>
        </row>
        <row r="87">
          <cell r="A87" t="str">
            <v>23:Q2</v>
          </cell>
          <cell r="B87">
            <v>2.41</v>
          </cell>
          <cell r="C87">
            <v>5.08</v>
          </cell>
          <cell r="D87">
            <v>0.63</v>
          </cell>
          <cell r="E87">
            <v>0.44</v>
          </cell>
          <cell r="F87">
            <v>0.85</v>
          </cell>
          <cell r="G87">
            <v>4.6500000000000004</v>
          </cell>
        </row>
        <row r="88">
          <cell r="A88" t="str">
            <v>23:Q3</v>
          </cell>
          <cell r="B88">
            <v>2.5299999999999998</v>
          </cell>
          <cell r="C88">
            <v>5.78</v>
          </cell>
          <cell r="D88">
            <v>0.72</v>
          </cell>
          <cell r="E88">
            <v>0.41</v>
          </cell>
          <cell r="F88">
            <v>0.77</v>
          </cell>
          <cell r="G88">
            <v>4.96</v>
          </cell>
        </row>
        <row r="89">
          <cell r="A89" t="str">
            <v>23:Q4</v>
          </cell>
          <cell r="B89">
            <v>2.66</v>
          </cell>
          <cell r="C89">
            <v>6.36</v>
          </cell>
          <cell r="D89">
            <v>0.82</v>
          </cell>
          <cell r="E89">
            <v>0.45</v>
          </cell>
          <cell r="F89">
            <v>0.79</v>
          </cell>
          <cell r="G89">
            <v>5.15</v>
          </cell>
        </row>
        <row r="90">
          <cell r="A90" t="str">
            <v>24:Q1</v>
          </cell>
          <cell r="B90">
            <v>2.78</v>
          </cell>
          <cell r="C90">
            <v>6.86</v>
          </cell>
          <cell r="D90">
            <v>0.92</v>
          </cell>
          <cell r="E90">
            <v>0.52</v>
          </cell>
          <cell r="F90">
            <v>0.8</v>
          </cell>
          <cell r="G90">
            <v>5.43</v>
          </cell>
        </row>
        <row r="91">
          <cell r="A91" t="str">
            <v>24:Q2</v>
          </cell>
          <cell r="B91">
            <v>2.88</v>
          </cell>
          <cell r="C91">
            <v>7.18</v>
          </cell>
          <cell r="D91">
            <v>0.95</v>
          </cell>
          <cell r="E91">
            <v>0.51</v>
          </cell>
          <cell r="F91">
            <v>0.8</v>
          </cell>
          <cell r="G91">
            <v>5.42</v>
          </cell>
        </row>
        <row r="92">
          <cell r="A92" t="str">
            <v>24:Q3</v>
          </cell>
          <cell r="B92">
            <v>2.8995743431135401</v>
          </cell>
          <cell r="C92">
            <v>7.0993405847757369</v>
          </cell>
          <cell r="D92">
            <v>1.0808969707780904</v>
          </cell>
          <cell r="E92">
            <v>0.42547565309768098</v>
          </cell>
          <cell r="F92">
            <v>0.77148331733432707</v>
          </cell>
          <cell r="G92">
            <v>5.5003537325284579</v>
          </cell>
        </row>
        <row r="93">
          <cell r="A93" t="str">
            <v>24:Q4</v>
          </cell>
          <cell r="B93">
            <v>2.96</v>
          </cell>
          <cell r="C93">
            <v>7.18</v>
          </cell>
          <cell r="D93">
            <v>1.0900000000000001</v>
          </cell>
          <cell r="E93">
            <v>0.56000000000000005</v>
          </cell>
          <cell r="F93">
            <v>0.7</v>
          </cell>
          <cell r="G93">
            <v>5.63</v>
          </cell>
        </row>
        <row r="94">
          <cell r="A94" t="str">
            <v>25:Q1</v>
          </cell>
          <cell r="B94">
            <v>2.94</v>
          </cell>
          <cell r="C94">
            <v>7.04</v>
          </cell>
          <cell r="D94">
            <v>1.22</v>
          </cell>
          <cell r="E94">
            <v>0.88</v>
          </cell>
          <cell r="F94">
            <v>8.0399999999999991</v>
          </cell>
          <cell r="G94">
            <v>5.44</v>
          </cell>
        </row>
        <row r="95">
          <cell r="A95" t="str">
            <v>25:Q2</v>
          </cell>
          <cell r="B95">
            <v>2.93</v>
          </cell>
          <cell r="C95">
            <v>6.93</v>
          </cell>
          <cell r="D95">
            <v>1.29</v>
          </cell>
          <cell r="E95">
            <v>1.1499999999999999</v>
          </cell>
          <cell r="F95">
            <v>12.88</v>
          </cell>
          <cell r="G95">
            <v>5.42</v>
          </cell>
        </row>
        <row r="96">
          <cell r="A96" t="str">
            <v>25:Q3</v>
          </cell>
          <cell r="B96">
            <v>2.99</v>
          </cell>
          <cell r="C96">
            <v>7.05</v>
          </cell>
          <cell r="D96">
            <v>1.28</v>
          </cell>
          <cell r="E96">
            <v>1.27</v>
          </cell>
          <cell r="F96">
            <v>14.26</v>
          </cell>
          <cell r="G96">
            <v>5.35</v>
          </cell>
        </row>
        <row r="97">
          <cell r="A97" t="str">
            <v>25:Q4</v>
          </cell>
          <cell r="B97">
            <v>2.951661558007868</v>
          </cell>
          <cell r="C97">
            <v>7.1293055486023897</v>
          </cell>
          <cell r="D97">
            <v>1.3843895821208627</v>
          </cell>
          <cell r="E97">
            <v>1.2399896557565249</v>
          </cell>
          <cell r="F97">
            <v>16.190010787911181</v>
          </cell>
          <cell r="G97">
            <v>5.1252240481402911</v>
          </cell>
        </row>
        <row r="98">
          <cell r="A98" t="str">
            <v>26:Q1</v>
          </cell>
          <cell r="B98">
            <v>2.97</v>
          </cell>
          <cell r="C98">
            <v>7.1</v>
          </cell>
          <cell r="D98">
            <v>1.48</v>
          </cell>
          <cell r="E98">
            <v>1.1499999999999999</v>
          </cell>
          <cell r="F98">
            <v>10.86</v>
          </cell>
          <cell r="G98">
            <v>5.16</v>
          </cell>
        </row>
      </sheetData>
      <sheetData sheetId="24" refreshError="1"/>
      <sheetData sheetId="25">
        <row r="1">
          <cell r="A1" t="str">
            <v xml:space="preserve">Quarterly Transition Rates for Current Mortgage Accounts </v>
          </cell>
        </row>
        <row r="2">
          <cell r="A2" t="str">
            <v>Percent</v>
          </cell>
        </row>
        <row r="3">
          <cell r="A3" t="str">
            <v>Return to Table of Contents</v>
          </cell>
        </row>
        <row r="4">
          <cell r="B4" t="str">
            <v>To 30-60 days late</v>
          </cell>
          <cell r="C4" t="str">
            <v>To 90+ days late</v>
          </cell>
        </row>
        <row r="5">
          <cell r="A5" t="str">
            <v>03:Q1</v>
          </cell>
          <cell r="B5">
            <v>1.55</v>
          </cell>
          <cell r="C5">
            <v>0.19</v>
          </cell>
        </row>
        <row r="6">
          <cell r="A6" t="str">
            <v>03:Q2</v>
          </cell>
          <cell r="B6">
            <v>1.42</v>
          </cell>
          <cell r="C6">
            <v>0.2</v>
          </cell>
        </row>
        <row r="7">
          <cell r="A7" t="str">
            <v>03:Q3</v>
          </cell>
          <cell r="B7">
            <v>1.33</v>
          </cell>
          <cell r="C7">
            <v>0.16</v>
          </cell>
        </row>
        <row r="8">
          <cell r="A8" t="str">
            <v>03:Q4</v>
          </cell>
          <cell r="B8">
            <v>1.34</v>
          </cell>
          <cell r="C8">
            <v>0.23</v>
          </cell>
        </row>
        <row r="9">
          <cell r="A9" t="str">
            <v>04:Q1</v>
          </cell>
          <cell r="B9">
            <v>1.32</v>
          </cell>
          <cell r="C9">
            <v>0.18</v>
          </cell>
        </row>
        <row r="10">
          <cell r="A10" t="str">
            <v>04:Q2</v>
          </cell>
          <cell r="B10">
            <v>1.34</v>
          </cell>
          <cell r="C10">
            <v>0.15</v>
          </cell>
        </row>
        <row r="11">
          <cell r="A11" t="str">
            <v>04:Q3</v>
          </cell>
          <cell r="B11">
            <v>1.35</v>
          </cell>
          <cell r="C11">
            <v>0.14000000000000001</v>
          </cell>
        </row>
        <row r="12">
          <cell r="A12" t="str">
            <v>04:Q4</v>
          </cell>
          <cell r="B12">
            <v>1.31</v>
          </cell>
          <cell r="C12">
            <v>0.2</v>
          </cell>
        </row>
        <row r="13">
          <cell r="A13" t="str">
            <v>05:Q1</v>
          </cell>
          <cell r="B13">
            <v>1.19</v>
          </cell>
          <cell r="C13">
            <v>0.1</v>
          </cell>
        </row>
        <row r="14">
          <cell r="A14" t="str">
            <v>05:Q2</v>
          </cell>
          <cell r="B14">
            <v>1.22</v>
          </cell>
          <cell r="C14">
            <v>0.18</v>
          </cell>
        </row>
        <row r="15">
          <cell r="A15" t="str">
            <v>05:Q3</v>
          </cell>
          <cell r="B15">
            <v>1.36</v>
          </cell>
          <cell r="C15">
            <v>0.15</v>
          </cell>
        </row>
        <row r="16">
          <cell r="A16" t="str">
            <v>05:Q4</v>
          </cell>
          <cell r="B16">
            <v>1.32</v>
          </cell>
          <cell r="C16">
            <v>0.22</v>
          </cell>
        </row>
        <row r="17">
          <cell r="A17" t="str">
            <v>06:Q1</v>
          </cell>
          <cell r="B17">
            <v>1.23</v>
          </cell>
          <cell r="C17">
            <v>0.13</v>
          </cell>
        </row>
        <row r="18">
          <cell r="A18" t="str">
            <v>06:Q2</v>
          </cell>
          <cell r="B18">
            <v>1.44</v>
          </cell>
          <cell r="C18">
            <v>0.09</v>
          </cell>
        </row>
        <row r="19">
          <cell r="A19" t="str">
            <v>06:Q3</v>
          </cell>
          <cell r="B19">
            <v>1.48</v>
          </cell>
          <cell r="C19">
            <v>0.18</v>
          </cell>
        </row>
        <row r="20">
          <cell r="A20" t="str">
            <v>06:Q4</v>
          </cell>
          <cell r="B20">
            <v>1.73</v>
          </cell>
          <cell r="C20">
            <v>0.17</v>
          </cell>
        </row>
        <row r="21">
          <cell r="A21" t="str">
            <v>07:Q1</v>
          </cell>
          <cell r="B21">
            <v>1.64</v>
          </cell>
          <cell r="C21">
            <v>0.24</v>
          </cell>
        </row>
        <row r="22">
          <cell r="A22" t="str">
            <v>07:Q2</v>
          </cell>
          <cell r="B22">
            <v>1.74</v>
          </cell>
          <cell r="C22">
            <v>0.22</v>
          </cell>
        </row>
        <row r="23">
          <cell r="A23" t="str">
            <v>07:Q3</v>
          </cell>
          <cell r="B23">
            <v>1.91</v>
          </cell>
          <cell r="C23">
            <v>0.35</v>
          </cell>
        </row>
        <row r="24">
          <cell r="A24" t="str">
            <v>07:Q4</v>
          </cell>
          <cell r="B24">
            <v>2.27</v>
          </cell>
          <cell r="C24">
            <v>0.43</v>
          </cell>
        </row>
        <row r="25">
          <cell r="A25" t="str">
            <v>08:Q1</v>
          </cell>
          <cell r="B25">
            <v>2.0099999999999998</v>
          </cell>
          <cell r="C25">
            <v>0.53</v>
          </cell>
        </row>
        <row r="26">
          <cell r="A26" t="str">
            <v>08:Q2</v>
          </cell>
          <cell r="B26">
            <v>2.2400000000000002</v>
          </cell>
          <cell r="C26">
            <v>0.52</v>
          </cell>
        </row>
        <row r="27">
          <cell r="A27" t="str">
            <v>08:Q3</v>
          </cell>
          <cell r="B27">
            <v>2.5499999999999998</v>
          </cell>
          <cell r="C27">
            <v>0.55000000000000004</v>
          </cell>
        </row>
        <row r="28">
          <cell r="A28" t="str">
            <v>08:Q4</v>
          </cell>
          <cell r="B28">
            <v>3.05</v>
          </cell>
          <cell r="C28">
            <v>0.66</v>
          </cell>
        </row>
        <row r="29">
          <cell r="A29" t="str">
            <v>09:Q1</v>
          </cell>
          <cell r="B29">
            <v>2.77</v>
          </cell>
          <cell r="C29">
            <v>0.66</v>
          </cell>
        </row>
        <row r="30">
          <cell r="A30" t="str">
            <v>09:Q2</v>
          </cell>
          <cell r="B30">
            <v>2.5</v>
          </cell>
          <cell r="C30">
            <v>0.75</v>
          </cell>
        </row>
        <row r="31">
          <cell r="A31" t="str">
            <v>09:Q3</v>
          </cell>
          <cell r="B31">
            <v>2.74</v>
          </cell>
          <cell r="C31">
            <v>0.53</v>
          </cell>
        </row>
        <row r="32">
          <cell r="A32" t="str">
            <v>09:Q4</v>
          </cell>
          <cell r="B32">
            <v>2.42</v>
          </cell>
          <cell r="C32">
            <v>0.74</v>
          </cell>
        </row>
        <row r="33">
          <cell r="A33" t="str">
            <v>10:Q1</v>
          </cell>
          <cell r="B33">
            <v>2.2799999999999998</v>
          </cell>
          <cell r="C33">
            <v>0.63</v>
          </cell>
        </row>
        <row r="34">
          <cell r="A34" t="str">
            <v>10:Q2</v>
          </cell>
          <cell r="B34">
            <v>2.04</v>
          </cell>
          <cell r="C34">
            <v>0.53</v>
          </cell>
        </row>
        <row r="35">
          <cell r="A35" t="str">
            <v>10:Q3</v>
          </cell>
          <cell r="B35">
            <v>2.12</v>
          </cell>
          <cell r="C35">
            <v>0.59</v>
          </cell>
        </row>
        <row r="36">
          <cell r="A36" t="str">
            <v>10:Q4</v>
          </cell>
          <cell r="B36">
            <v>1.9</v>
          </cell>
          <cell r="C36">
            <v>0.52</v>
          </cell>
        </row>
        <row r="37">
          <cell r="A37" t="str">
            <v>11:Q1</v>
          </cell>
          <cell r="B37">
            <v>1.84</v>
          </cell>
          <cell r="C37">
            <v>0.54</v>
          </cell>
        </row>
        <row r="38">
          <cell r="A38" t="str">
            <v>11:Q2</v>
          </cell>
          <cell r="B38">
            <v>1.6703053896940843</v>
          </cell>
          <cell r="C38">
            <v>0.47873319830602101</v>
          </cell>
        </row>
        <row r="39">
          <cell r="A39" t="str">
            <v>11:Q3</v>
          </cell>
          <cell r="B39">
            <v>2.1193092621664049</v>
          </cell>
          <cell r="C39">
            <v>0.41862899005756149</v>
          </cell>
        </row>
        <row r="40">
          <cell r="A40" t="str">
            <v>11:Q4</v>
          </cell>
          <cell r="B40">
            <v>1.72</v>
          </cell>
          <cell r="C40">
            <v>0.48</v>
          </cell>
        </row>
        <row r="41">
          <cell r="A41" t="str">
            <v>12:Q1</v>
          </cell>
          <cell r="B41">
            <v>1.4</v>
          </cell>
          <cell r="C41">
            <v>0.43</v>
          </cell>
        </row>
        <row r="42">
          <cell r="A42" t="str">
            <v>12:Q2</v>
          </cell>
          <cell r="B42">
            <v>1.46</v>
          </cell>
          <cell r="C42">
            <v>0.36</v>
          </cell>
        </row>
        <row r="43">
          <cell r="A43" t="str">
            <v>12:Q3</v>
          </cell>
          <cell r="B43">
            <v>1.52</v>
          </cell>
          <cell r="C43">
            <v>0.35</v>
          </cell>
        </row>
        <row r="44">
          <cell r="A44" t="str">
            <v>12:Q4</v>
          </cell>
          <cell r="B44">
            <v>1.42</v>
          </cell>
          <cell r="C44">
            <v>0.38</v>
          </cell>
        </row>
        <row r="45">
          <cell r="A45" t="str">
            <v>13:Q1</v>
          </cell>
          <cell r="B45">
            <v>1.28</v>
          </cell>
          <cell r="C45">
            <v>0.28999999999999998</v>
          </cell>
        </row>
        <row r="46">
          <cell r="A46" t="str">
            <v>13:Q2</v>
          </cell>
          <cell r="B46">
            <v>1.17</v>
          </cell>
          <cell r="C46">
            <v>0.35</v>
          </cell>
        </row>
        <row r="47">
          <cell r="A47" t="str">
            <v>13:Q3</v>
          </cell>
          <cell r="B47">
            <v>1.35</v>
          </cell>
          <cell r="C47">
            <v>0.22</v>
          </cell>
        </row>
        <row r="48">
          <cell r="A48" t="str">
            <v>13:Q4</v>
          </cell>
          <cell r="B48">
            <v>1.25</v>
          </cell>
          <cell r="C48">
            <v>0.23</v>
          </cell>
        </row>
        <row r="49">
          <cell r="A49" t="str">
            <v>14:Q1</v>
          </cell>
          <cell r="B49">
            <v>0.97</v>
          </cell>
          <cell r="C49">
            <v>0.23</v>
          </cell>
        </row>
        <row r="50">
          <cell r="A50" t="str">
            <v>14:Q2</v>
          </cell>
          <cell r="B50">
            <v>0.95</v>
          </cell>
          <cell r="C50">
            <v>0.22</v>
          </cell>
        </row>
        <row r="51">
          <cell r="A51" t="str">
            <v>14:Q3</v>
          </cell>
          <cell r="B51">
            <v>1.1499999999999999</v>
          </cell>
          <cell r="C51">
            <v>0.21</v>
          </cell>
        </row>
        <row r="52">
          <cell r="A52" t="str">
            <v>14:Q4</v>
          </cell>
          <cell r="B52">
            <v>0.95</v>
          </cell>
          <cell r="C52">
            <v>0.22</v>
          </cell>
        </row>
        <row r="53">
          <cell r="A53" t="str">
            <v>15:Q1</v>
          </cell>
          <cell r="B53">
            <v>0.85</v>
          </cell>
          <cell r="C53">
            <v>0.13</v>
          </cell>
        </row>
        <row r="54">
          <cell r="A54" t="str">
            <v>15:Q2</v>
          </cell>
          <cell r="B54">
            <v>1.01</v>
          </cell>
          <cell r="C54">
            <v>0.19</v>
          </cell>
        </row>
        <row r="55">
          <cell r="A55" t="str">
            <v>15:Q3</v>
          </cell>
          <cell r="B55">
            <v>1</v>
          </cell>
          <cell r="C55">
            <v>0.18</v>
          </cell>
        </row>
        <row r="56">
          <cell r="A56" t="str">
            <v>15:Q4</v>
          </cell>
          <cell r="B56">
            <v>0.91</v>
          </cell>
          <cell r="C56">
            <v>0.19</v>
          </cell>
        </row>
        <row r="57">
          <cell r="A57" t="str">
            <v>16:Q1</v>
          </cell>
          <cell r="B57">
            <v>0.71</v>
          </cell>
          <cell r="C57">
            <v>0.18</v>
          </cell>
        </row>
        <row r="58">
          <cell r="A58" t="str">
            <v>16:Q2</v>
          </cell>
          <cell r="B58">
            <v>0.78</v>
          </cell>
          <cell r="C58">
            <v>0.12</v>
          </cell>
        </row>
        <row r="59">
          <cell r="A59" t="str">
            <v>16:Q3</v>
          </cell>
          <cell r="B59">
            <v>1.02</v>
          </cell>
          <cell r="C59">
            <v>0.16</v>
          </cell>
        </row>
        <row r="60">
          <cell r="A60" t="str">
            <v>16:Q4</v>
          </cell>
          <cell r="B60">
            <v>0.86</v>
          </cell>
          <cell r="C60">
            <v>0.16</v>
          </cell>
        </row>
        <row r="61">
          <cell r="A61" t="str">
            <v>17:Q1</v>
          </cell>
          <cell r="B61">
            <v>0.83900392673349411</v>
          </cell>
          <cell r="C61">
            <v>0.13902099948781699</v>
          </cell>
        </row>
        <row r="62">
          <cell r="A62" t="str">
            <v>17:Q2</v>
          </cell>
          <cell r="B62">
            <v>0.8271496901185581</v>
          </cell>
          <cell r="C62">
            <v>0.1546410290221652</v>
          </cell>
        </row>
        <row r="63">
          <cell r="A63" t="str">
            <v>17:Q3</v>
          </cell>
          <cell r="B63">
            <v>0.92</v>
          </cell>
          <cell r="C63">
            <v>0.11</v>
          </cell>
        </row>
        <row r="64">
          <cell r="A64" t="str">
            <v>17:Q4</v>
          </cell>
          <cell r="B64">
            <v>0.81</v>
          </cell>
          <cell r="C64">
            <v>0.11</v>
          </cell>
        </row>
        <row r="65">
          <cell r="A65" t="str">
            <v>18:Q1</v>
          </cell>
          <cell r="B65">
            <v>0.80668766318155749</v>
          </cell>
          <cell r="C65">
            <v>0.14283874442402031</v>
          </cell>
        </row>
        <row r="66">
          <cell r="A66" t="str">
            <v>18:Q2</v>
          </cell>
          <cell r="B66">
            <v>0.8241062590640178</v>
          </cell>
          <cell r="C66">
            <v>0.19106374162657397</v>
          </cell>
        </row>
        <row r="67">
          <cell r="A67" t="str">
            <v>18:Q3</v>
          </cell>
          <cell r="B67">
            <v>1.010687335677946</v>
          </cell>
          <cell r="C67">
            <v>0.19690192463095116</v>
          </cell>
        </row>
        <row r="68">
          <cell r="A68" t="str">
            <v>18:Q4</v>
          </cell>
          <cell r="B68">
            <v>0.8274097885634083</v>
          </cell>
          <cell r="C68">
            <v>0.13243084167157151</v>
          </cell>
        </row>
        <row r="69">
          <cell r="A69" t="str">
            <v>19:Q1</v>
          </cell>
          <cell r="B69">
            <v>0.79434533826994269</v>
          </cell>
          <cell r="C69">
            <v>0.13687871648154382</v>
          </cell>
        </row>
        <row r="70">
          <cell r="A70" t="str">
            <v>19:Q2</v>
          </cell>
          <cell r="B70">
            <v>0.78324064431790497</v>
          </cell>
          <cell r="C70">
            <v>0.17614605720869431</v>
          </cell>
        </row>
        <row r="71">
          <cell r="A71" t="str">
            <v>19:Q3</v>
          </cell>
          <cell r="B71">
            <v>1.0178700006545787</v>
          </cell>
          <cell r="C71">
            <v>0.14073443738953983</v>
          </cell>
        </row>
        <row r="72">
          <cell r="A72" t="str">
            <v>19:Q4</v>
          </cell>
          <cell r="B72">
            <v>0.87583888943628807</v>
          </cell>
          <cell r="C72">
            <v>0.1543666042631458</v>
          </cell>
        </row>
        <row r="73">
          <cell r="A73" t="str">
            <v>20:Q1</v>
          </cell>
          <cell r="B73">
            <v>0.75906421447053396</v>
          </cell>
          <cell r="C73">
            <v>0.14386789920657927</v>
          </cell>
        </row>
        <row r="74">
          <cell r="A74" t="str">
            <v>20:Q2</v>
          </cell>
          <cell r="B74">
            <v>0.42915195316993093</v>
          </cell>
          <cell r="C74">
            <v>0.10484116680421469</v>
          </cell>
        </row>
        <row r="75">
          <cell r="A75" t="str">
            <v>20:Q3</v>
          </cell>
          <cell r="B75">
            <v>0.46941500458983554</v>
          </cell>
          <cell r="C75">
            <v>0.11891846782942503</v>
          </cell>
        </row>
        <row r="76">
          <cell r="A76" t="str">
            <v>20:Q4</v>
          </cell>
          <cell r="B76">
            <v>0.34795499233057786</v>
          </cell>
          <cell r="C76">
            <v>0.10397471664316082</v>
          </cell>
        </row>
        <row r="77">
          <cell r="A77" t="str">
            <v>21:Q1</v>
          </cell>
          <cell r="B77">
            <v>0.38950554994954589</v>
          </cell>
          <cell r="C77">
            <v>0.11503531786074672</v>
          </cell>
        </row>
        <row r="78">
          <cell r="A78" t="str">
            <v>21:Q2</v>
          </cell>
          <cell r="B78">
            <v>0.26906217686763001</v>
          </cell>
          <cell r="C78">
            <v>7.8279724010173607E-2</v>
          </cell>
        </row>
        <row r="79">
          <cell r="A79" t="str">
            <v>21:Q3</v>
          </cell>
          <cell r="B79">
            <v>0.41</v>
          </cell>
          <cell r="C79">
            <v>0.12</v>
          </cell>
        </row>
        <row r="80">
          <cell r="A80" t="str">
            <v>21:Q4</v>
          </cell>
          <cell r="B80">
            <v>0.47913490583010598</v>
          </cell>
          <cell r="C80">
            <v>9.5637599780317592E-2</v>
          </cell>
        </row>
        <row r="81">
          <cell r="A81" t="str">
            <v>22:Q1</v>
          </cell>
          <cell r="B81">
            <v>0.45</v>
          </cell>
          <cell r="C81">
            <v>0.12</v>
          </cell>
        </row>
        <row r="82">
          <cell r="A82" t="str">
            <v>22:Q2</v>
          </cell>
          <cell r="B82">
            <v>0.49</v>
          </cell>
          <cell r="C82">
            <v>0.12</v>
          </cell>
        </row>
        <row r="83">
          <cell r="A83" t="str">
            <v>22:Q3</v>
          </cell>
          <cell r="B83">
            <v>0.57999999999999996</v>
          </cell>
          <cell r="C83">
            <v>0.11</v>
          </cell>
        </row>
        <row r="84">
          <cell r="A84" t="str">
            <v>22:Q4</v>
          </cell>
          <cell r="B84">
            <v>0.62</v>
          </cell>
          <cell r="C84">
            <v>0.12</v>
          </cell>
        </row>
        <row r="85">
          <cell r="A85" t="str">
            <v>23:Q1</v>
          </cell>
          <cell r="B85">
            <v>0.61</v>
          </cell>
          <cell r="C85">
            <v>8.9962402505368036E-2</v>
          </cell>
        </row>
        <row r="86">
          <cell r="A86" t="str">
            <v>23:Q2</v>
          </cell>
          <cell r="B86">
            <v>0.62</v>
          </cell>
          <cell r="C86">
            <v>0.12</v>
          </cell>
        </row>
        <row r="87">
          <cell r="A87" t="str">
            <v>23:Q3</v>
          </cell>
          <cell r="B87">
            <v>0.77</v>
          </cell>
          <cell r="C87">
            <v>0.13</v>
          </cell>
        </row>
        <row r="88">
          <cell r="A88" t="str">
            <v>23:Q4</v>
          </cell>
          <cell r="B88">
            <v>0.81</v>
          </cell>
          <cell r="C88">
            <v>0.16</v>
          </cell>
        </row>
        <row r="89">
          <cell r="A89" t="str">
            <v>24:Q1</v>
          </cell>
          <cell r="B89">
            <v>0.83</v>
          </cell>
          <cell r="C89">
            <v>0.17</v>
          </cell>
        </row>
        <row r="90">
          <cell r="A90" t="str">
            <v>24:Q2</v>
          </cell>
          <cell r="B90">
            <v>0.76</v>
          </cell>
          <cell r="C90">
            <v>0.12</v>
          </cell>
        </row>
        <row r="91">
          <cell r="A91" t="str">
            <v>24:Q3</v>
          </cell>
          <cell r="B91">
            <v>0.97883156433426666</v>
          </cell>
          <cell r="C91">
            <v>0.18372200854156684</v>
          </cell>
        </row>
        <row r="92">
          <cell r="A92" t="str">
            <v>24:Q4</v>
          </cell>
          <cell r="B92">
            <v>0.83602548134308996</v>
          </cell>
          <cell r="C92">
            <v>0.15455524417458094</v>
          </cell>
        </row>
        <row r="93">
          <cell r="A93" t="str">
            <v>25:Q1</v>
          </cell>
          <cell r="B93">
            <v>0.89017460616085498</v>
          </cell>
          <cell r="C93">
            <v>0.23773281568010399</v>
          </cell>
        </row>
        <row r="94">
          <cell r="A94" t="str">
            <v>25:Q2</v>
          </cell>
          <cell r="B94">
            <v>0.69111528289033941</v>
          </cell>
          <cell r="C94">
            <v>0.16694223862506116</v>
          </cell>
        </row>
        <row r="95">
          <cell r="A95" t="str">
            <v>25:Q3</v>
          </cell>
          <cell r="B95">
            <v>0.9365060013964468</v>
          </cell>
          <cell r="C95">
            <v>0.18809283679779862</v>
          </cell>
        </row>
        <row r="96">
          <cell r="A96" t="str">
            <v>25:Q4</v>
          </cell>
          <cell r="B96">
            <v>0.99826286540744058</v>
          </cell>
          <cell r="C96">
            <v>0.19729447182462015</v>
          </cell>
        </row>
        <row r="97">
          <cell r="A97" t="str">
            <v>26:Q1</v>
          </cell>
          <cell r="B97">
            <v>0.74</v>
          </cell>
          <cell r="C97">
            <v>0.26</v>
          </cell>
        </row>
      </sheetData>
      <sheetData sheetId="26" refreshError="1"/>
      <sheetData sheetId="27">
        <row r="1">
          <cell r="A1" t="str">
            <v xml:space="preserve">Quarterly Transition Rates for 30-60 Day Late Mortgage Accounts </v>
          </cell>
        </row>
        <row r="2">
          <cell r="A2" t="str">
            <v>Percent</v>
          </cell>
        </row>
        <row r="3">
          <cell r="A3" t="str">
            <v>Return to Table of Contents</v>
          </cell>
        </row>
        <row r="4">
          <cell r="A4" t="str">
            <v>quarter</v>
          </cell>
          <cell r="B4" t="str">
            <v>To current</v>
          </cell>
          <cell r="C4" t="str">
            <v>To 90+ days late</v>
          </cell>
        </row>
        <row r="5">
          <cell r="A5" t="str">
            <v>03:Q1</v>
          </cell>
          <cell r="B5">
            <v>41.28</v>
          </cell>
          <cell r="C5">
            <v>12.28</v>
          </cell>
        </row>
        <row r="6">
          <cell r="A6" t="str">
            <v>03:Q2</v>
          </cell>
          <cell r="B6">
            <v>50</v>
          </cell>
          <cell r="C6">
            <v>11.12</v>
          </cell>
        </row>
        <row r="7">
          <cell r="A7" t="str">
            <v>03:Q3</v>
          </cell>
          <cell r="B7">
            <v>46.52</v>
          </cell>
          <cell r="C7">
            <v>12</v>
          </cell>
        </row>
        <row r="8">
          <cell r="A8" t="str">
            <v>03:Q4</v>
          </cell>
          <cell r="B8">
            <v>43.2</v>
          </cell>
          <cell r="C8">
            <v>14.97</v>
          </cell>
        </row>
        <row r="9">
          <cell r="A9" t="str">
            <v>04:Q1</v>
          </cell>
          <cell r="B9">
            <v>48.09</v>
          </cell>
          <cell r="C9">
            <v>12.93</v>
          </cell>
        </row>
        <row r="10">
          <cell r="A10" t="str">
            <v>04:Q2</v>
          </cell>
          <cell r="B10">
            <v>47.88</v>
          </cell>
          <cell r="C10">
            <v>11.16</v>
          </cell>
        </row>
        <row r="11">
          <cell r="A11" t="str">
            <v>04:Q3</v>
          </cell>
          <cell r="B11">
            <v>40.369999999999997</v>
          </cell>
          <cell r="C11">
            <v>16.55</v>
          </cell>
        </row>
        <row r="12">
          <cell r="A12" t="str">
            <v>04:Q4</v>
          </cell>
          <cell r="B12">
            <v>41.41</v>
          </cell>
          <cell r="C12">
            <v>16.329999999999998</v>
          </cell>
        </row>
        <row r="13">
          <cell r="A13" t="str">
            <v>05:Q1</v>
          </cell>
          <cell r="B13">
            <v>43.14</v>
          </cell>
          <cell r="C13">
            <v>13.34</v>
          </cell>
        </row>
        <row r="14">
          <cell r="A14" t="str">
            <v>05:Q2</v>
          </cell>
          <cell r="B14">
            <v>50.12</v>
          </cell>
          <cell r="C14">
            <v>10.44</v>
          </cell>
        </row>
        <row r="15">
          <cell r="A15" t="str">
            <v>05:Q3</v>
          </cell>
          <cell r="B15">
            <v>39.64</v>
          </cell>
          <cell r="C15">
            <v>15.73</v>
          </cell>
        </row>
        <row r="16">
          <cell r="A16" t="str">
            <v>05:Q4</v>
          </cell>
          <cell r="B16">
            <v>43.3</v>
          </cell>
          <cell r="C16">
            <v>14.56</v>
          </cell>
        </row>
        <row r="17">
          <cell r="A17" t="str">
            <v>06:Q1</v>
          </cell>
          <cell r="B17">
            <v>47.24</v>
          </cell>
          <cell r="C17">
            <v>13.72</v>
          </cell>
        </row>
        <row r="18">
          <cell r="A18" t="str">
            <v>06:Q2</v>
          </cell>
          <cell r="B18">
            <v>45.9</v>
          </cell>
          <cell r="C18">
            <v>11.97</v>
          </cell>
        </row>
        <row r="19">
          <cell r="A19" t="str">
            <v>06:Q3</v>
          </cell>
          <cell r="B19">
            <v>37.020000000000003</v>
          </cell>
          <cell r="C19">
            <v>17.190000000000001</v>
          </cell>
        </row>
        <row r="20">
          <cell r="A20" t="str">
            <v>06:Q4</v>
          </cell>
          <cell r="B20">
            <v>36.869999999999997</v>
          </cell>
          <cell r="C20">
            <v>19.670000000000002</v>
          </cell>
        </row>
        <row r="21">
          <cell r="A21" t="str">
            <v>07:Q1</v>
          </cell>
          <cell r="B21">
            <v>39.880000000000003</v>
          </cell>
          <cell r="C21">
            <v>19.940000000000001</v>
          </cell>
        </row>
        <row r="22">
          <cell r="A22" t="str">
            <v>07:Q2</v>
          </cell>
          <cell r="B22">
            <v>36.729999999999997</v>
          </cell>
          <cell r="C22">
            <v>22.27</v>
          </cell>
        </row>
        <row r="23">
          <cell r="A23" t="str">
            <v>07:Q3</v>
          </cell>
          <cell r="B23">
            <v>31.12</v>
          </cell>
          <cell r="C23">
            <v>27.11</v>
          </cell>
        </row>
        <row r="24">
          <cell r="A24" t="str">
            <v>07:Q4</v>
          </cell>
          <cell r="B24">
            <v>25.4</v>
          </cell>
          <cell r="C24">
            <v>34.19</v>
          </cell>
        </row>
        <row r="25">
          <cell r="A25" t="str">
            <v>08:Q1</v>
          </cell>
          <cell r="B25">
            <v>26.85</v>
          </cell>
          <cell r="C25">
            <v>34.6</v>
          </cell>
        </row>
        <row r="26">
          <cell r="A26" t="str">
            <v>08:Q2</v>
          </cell>
          <cell r="B26">
            <v>29.33</v>
          </cell>
          <cell r="C26">
            <v>31.33</v>
          </cell>
        </row>
        <row r="27">
          <cell r="A27" t="str">
            <v>08:Q3</v>
          </cell>
          <cell r="B27">
            <v>22.27</v>
          </cell>
          <cell r="C27">
            <v>40.130000000000003</v>
          </cell>
        </row>
        <row r="28">
          <cell r="A28" t="str">
            <v>08:Q4</v>
          </cell>
          <cell r="B28">
            <v>21.21</v>
          </cell>
          <cell r="C28">
            <v>40.85</v>
          </cell>
        </row>
        <row r="29">
          <cell r="A29" t="str">
            <v>09:Q1</v>
          </cell>
          <cell r="B29">
            <v>22.84</v>
          </cell>
          <cell r="C29">
            <v>44.23</v>
          </cell>
        </row>
        <row r="30">
          <cell r="A30" t="str">
            <v>09:Q2</v>
          </cell>
          <cell r="B30">
            <v>25.73</v>
          </cell>
          <cell r="C30">
            <v>41.17</v>
          </cell>
        </row>
        <row r="31">
          <cell r="A31" t="str">
            <v>09:Q3</v>
          </cell>
          <cell r="B31">
            <v>20.47</v>
          </cell>
          <cell r="C31">
            <v>41.43</v>
          </cell>
        </row>
        <row r="32">
          <cell r="A32" t="str">
            <v>09:Q4</v>
          </cell>
          <cell r="B32">
            <v>20.91</v>
          </cell>
          <cell r="C32">
            <v>41.29</v>
          </cell>
        </row>
        <row r="33">
          <cell r="A33" t="str">
            <v>10:Q1</v>
          </cell>
          <cell r="B33">
            <v>24.13</v>
          </cell>
          <cell r="C33">
            <v>39.020000000000003</v>
          </cell>
        </row>
        <row r="34">
          <cell r="A34" t="str">
            <v>10:Q2</v>
          </cell>
          <cell r="B34">
            <v>29</v>
          </cell>
          <cell r="C34">
            <v>32.97</v>
          </cell>
        </row>
        <row r="35">
          <cell r="A35" t="str">
            <v>10:Q3</v>
          </cell>
          <cell r="B35">
            <v>25.15</v>
          </cell>
          <cell r="C35">
            <v>31.85</v>
          </cell>
        </row>
        <row r="36">
          <cell r="A36" t="str">
            <v>10:Q4</v>
          </cell>
          <cell r="B36">
            <v>28.66</v>
          </cell>
          <cell r="C36">
            <v>29.63</v>
          </cell>
        </row>
        <row r="37">
          <cell r="A37" t="str">
            <v>11:Q1</v>
          </cell>
          <cell r="B37">
            <v>30.98</v>
          </cell>
          <cell r="C37">
            <v>27.56</v>
          </cell>
        </row>
        <row r="38">
          <cell r="A38" t="str">
            <v>11:Q2</v>
          </cell>
          <cell r="B38">
            <v>29.94</v>
          </cell>
          <cell r="C38">
            <v>28.17</v>
          </cell>
        </row>
        <row r="39">
          <cell r="A39" t="str">
            <v>11:Q3</v>
          </cell>
          <cell r="B39">
            <v>25.620170801138677</v>
          </cell>
          <cell r="C39">
            <v>31.272875152501019</v>
          </cell>
        </row>
        <row r="40">
          <cell r="A40" t="str">
            <v>11:Q4</v>
          </cell>
          <cell r="B40">
            <v>27.24</v>
          </cell>
          <cell r="C40">
            <v>28.82</v>
          </cell>
        </row>
        <row r="41">
          <cell r="A41" t="str">
            <v>12:Q1</v>
          </cell>
          <cell r="B41">
            <v>31.77</v>
          </cell>
          <cell r="C41">
            <v>27.72</v>
          </cell>
        </row>
        <row r="42">
          <cell r="A42" t="str">
            <v>12:Q2</v>
          </cell>
          <cell r="B42">
            <v>28.45</v>
          </cell>
          <cell r="C42">
            <v>23.51</v>
          </cell>
        </row>
        <row r="43">
          <cell r="A43" t="str">
            <v>12:Q3</v>
          </cell>
          <cell r="B43">
            <v>26.35</v>
          </cell>
          <cell r="C43">
            <v>26.3</v>
          </cell>
        </row>
        <row r="44">
          <cell r="A44" t="str">
            <v>12:Q4</v>
          </cell>
          <cell r="B44">
            <v>28.05</v>
          </cell>
          <cell r="C44">
            <v>26.09</v>
          </cell>
        </row>
        <row r="45">
          <cell r="A45" t="str">
            <v>13:Q1</v>
          </cell>
          <cell r="B45">
            <v>34.700000000000003</v>
          </cell>
          <cell r="C45">
            <v>22.8</v>
          </cell>
        </row>
        <row r="46">
          <cell r="A46" t="str">
            <v>13:Q2</v>
          </cell>
          <cell r="B46">
            <v>35.799999999999997</v>
          </cell>
          <cell r="C46">
            <v>19.8</v>
          </cell>
        </row>
        <row r="47">
          <cell r="A47" t="str">
            <v>13:Q3</v>
          </cell>
          <cell r="B47">
            <v>25.7</v>
          </cell>
          <cell r="C47">
            <v>22.7</v>
          </cell>
        </row>
        <row r="48">
          <cell r="A48" t="str">
            <v>13:Q4</v>
          </cell>
          <cell r="B48">
            <v>26.9</v>
          </cell>
          <cell r="C48">
            <v>20.9</v>
          </cell>
        </row>
        <row r="49">
          <cell r="A49" t="str">
            <v>14:Q1</v>
          </cell>
          <cell r="B49">
            <v>35.1</v>
          </cell>
          <cell r="C49">
            <v>18.3</v>
          </cell>
        </row>
        <row r="50">
          <cell r="A50" t="str">
            <v>14:Q2</v>
          </cell>
          <cell r="B50">
            <v>35.200000000000003</v>
          </cell>
          <cell r="C50">
            <v>17.7</v>
          </cell>
        </row>
        <row r="51">
          <cell r="A51" t="str">
            <v>14:Q3</v>
          </cell>
          <cell r="B51">
            <v>30.4</v>
          </cell>
          <cell r="C51">
            <v>18.2</v>
          </cell>
        </row>
        <row r="52">
          <cell r="A52" t="str">
            <v>14:Q4</v>
          </cell>
          <cell r="B52">
            <v>39.200000000000003</v>
          </cell>
          <cell r="C52">
            <v>18.399999999999999</v>
          </cell>
        </row>
        <row r="53">
          <cell r="A53" t="str">
            <v>15:Q1</v>
          </cell>
          <cell r="B53">
            <v>37.700000000000003</v>
          </cell>
          <cell r="C53">
            <v>20.8</v>
          </cell>
        </row>
        <row r="54">
          <cell r="A54" t="str">
            <v>15:Q2</v>
          </cell>
          <cell r="B54">
            <v>33.6</v>
          </cell>
          <cell r="C54">
            <v>17.3</v>
          </cell>
        </row>
        <row r="55">
          <cell r="A55" t="str">
            <v>15:Q3</v>
          </cell>
          <cell r="B55">
            <v>30.516431924882632</v>
          </cell>
          <cell r="C55">
            <v>18.846411804158283</v>
          </cell>
        </row>
        <row r="56">
          <cell r="A56" t="str">
            <v>15:Q4</v>
          </cell>
          <cell r="B56">
            <v>32.94</v>
          </cell>
          <cell r="C56">
            <v>17.72</v>
          </cell>
        </row>
        <row r="57">
          <cell r="A57" t="str">
            <v>16:Q1</v>
          </cell>
          <cell r="B57">
            <v>38.090000000000003</v>
          </cell>
          <cell r="C57">
            <v>17.52</v>
          </cell>
        </row>
        <row r="58">
          <cell r="A58" t="str">
            <v>16:Q2</v>
          </cell>
          <cell r="B58">
            <v>36.93</v>
          </cell>
          <cell r="C58">
            <v>16.12</v>
          </cell>
        </row>
        <row r="59">
          <cell r="A59" t="str">
            <v>16:Q3</v>
          </cell>
          <cell r="B59">
            <v>32.700000000000003</v>
          </cell>
          <cell r="C59">
            <v>15.1</v>
          </cell>
        </row>
        <row r="60">
          <cell r="A60" t="str">
            <v>16:Q4</v>
          </cell>
          <cell r="B60">
            <v>36.6</v>
          </cell>
          <cell r="C60">
            <v>18.100000000000001</v>
          </cell>
        </row>
        <row r="61">
          <cell r="A61" t="str">
            <v>17:Q1</v>
          </cell>
          <cell r="B61">
            <v>36</v>
          </cell>
          <cell r="C61">
            <v>18.109090909090899</v>
          </cell>
        </row>
        <row r="62">
          <cell r="A62" t="str">
            <v>17:Q2</v>
          </cell>
          <cell r="B62">
            <v>36.299999999999997</v>
          </cell>
          <cell r="C62">
            <v>12.8</v>
          </cell>
        </row>
        <row r="63">
          <cell r="A63" t="str">
            <v>17:Q3</v>
          </cell>
          <cell r="B63">
            <v>30.9</v>
          </cell>
          <cell r="C63">
            <v>16.2</v>
          </cell>
        </row>
        <row r="64">
          <cell r="A64" t="str">
            <v>17:Q4</v>
          </cell>
          <cell r="B64">
            <v>35.9</v>
          </cell>
          <cell r="C64">
            <v>15</v>
          </cell>
        </row>
        <row r="65">
          <cell r="A65" t="str">
            <v>18:Q1</v>
          </cell>
          <cell r="B65">
            <v>40.517241379310342</v>
          </cell>
          <cell r="C65">
            <v>14.655172413793101</v>
          </cell>
        </row>
        <row r="66">
          <cell r="A66" t="str">
            <v>18:Q2</v>
          </cell>
          <cell r="B66">
            <v>42.897526501766784</v>
          </cell>
          <cell r="C66">
            <v>13.356890459363957</v>
          </cell>
        </row>
        <row r="67">
          <cell r="A67" t="str">
            <v>18:Q3</v>
          </cell>
          <cell r="B67">
            <v>34.836363636363636</v>
          </cell>
          <cell r="C67">
            <v>14.109090909090909</v>
          </cell>
        </row>
        <row r="68">
          <cell r="A68" t="str">
            <v>18:Q4</v>
          </cell>
          <cell r="B68">
            <v>35.082174462705431</v>
          </cell>
          <cell r="C68">
            <v>14.791403286978507</v>
          </cell>
        </row>
        <row r="69">
          <cell r="A69" t="str">
            <v>19:Q1</v>
          </cell>
          <cell r="B69">
            <v>38.703208556149733</v>
          </cell>
          <cell r="C69">
            <v>11.697860962566844</v>
          </cell>
        </row>
        <row r="70">
          <cell r="A70" t="str">
            <v>19:Q2</v>
          </cell>
          <cell r="B70">
            <v>42.963970088375255</v>
          </cell>
          <cell r="C70">
            <v>10.53704962610469</v>
          </cell>
        </row>
        <row r="71">
          <cell r="A71" t="str">
            <v>19:Q3</v>
          </cell>
          <cell r="B71">
            <v>31.444759206798867</v>
          </cell>
          <cell r="C71">
            <v>14.943342776203966</v>
          </cell>
        </row>
        <row r="72">
          <cell r="A72" t="str">
            <v>19:Q4</v>
          </cell>
          <cell r="B72">
            <v>37.889273356401382</v>
          </cell>
          <cell r="C72">
            <v>17.416378316032297</v>
          </cell>
        </row>
        <row r="73">
          <cell r="A73" t="str">
            <v>20:Q1</v>
          </cell>
          <cell r="B73">
            <v>37.413684871311993</v>
          </cell>
          <cell r="C73">
            <v>15.128688010043941</v>
          </cell>
        </row>
        <row r="74">
          <cell r="A74" t="str">
            <v>20:Q2</v>
          </cell>
          <cell r="B74">
            <v>61.049723756906083</v>
          </cell>
          <cell r="C74">
            <v>7.7348066298342539</v>
          </cell>
        </row>
        <row r="75">
          <cell r="A75" t="str">
            <v>20:Q3</v>
          </cell>
          <cell r="B75">
            <v>47.026893614000969</v>
          </cell>
          <cell r="C75">
            <v>10.957275206276853</v>
          </cell>
        </row>
        <row r="76">
          <cell r="A76" t="str">
            <v>20:Q4</v>
          </cell>
          <cell r="B76">
            <v>53.705781656472119</v>
          </cell>
          <cell r="C76">
            <v>8.3692824818485274</v>
          </cell>
        </row>
        <row r="77">
          <cell r="A77" t="str">
            <v>21:Q1</v>
          </cell>
          <cell r="B77">
            <v>49.838248357271048</v>
          </cell>
          <cell r="C77">
            <v>7.8796248105925502</v>
          </cell>
        </row>
        <row r="78">
          <cell r="A78" t="str">
            <v>21:Q2</v>
          </cell>
          <cell r="B78">
            <v>53.055909405195202</v>
          </cell>
          <cell r="C78">
            <v>6.9621302120932</v>
          </cell>
        </row>
        <row r="79">
          <cell r="A79" t="str">
            <v>21:Q3</v>
          </cell>
          <cell r="B79">
            <v>50.41</v>
          </cell>
          <cell r="C79">
            <v>5.51</v>
          </cell>
        </row>
        <row r="80">
          <cell r="A80" t="str">
            <v>21:Q4</v>
          </cell>
          <cell r="B80">
            <v>49.297943824339669</v>
          </cell>
          <cell r="C80">
            <v>10.758842655336929</v>
          </cell>
        </row>
        <row r="81">
          <cell r="A81" t="str">
            <v>22:Q1</v>
          </cell>
          <cell r="B81">
            <v>44.04</v>
          </cell>
          <cell r="C81">
            <v>13.08</v>
          </cell>
        </row>
        <row r="82">
          <cell r="A82" t="str">
            <v>22:Q2</v>
          </cell>
          <cell r="B82">
            <v>48.28</v>
          </cell>
          <cell r="C82">
            <v>12.75</v>
          </cell>
        </row>
        <row r="83">
          <cell r="A83" t="str">
            <v>22:Q3</v>
          </cell>
          <cell r="B83">
            <v>44.9</v>
          </cell>
          <cell r="C83">
            <v>11</v>
          </cell>
        </row>
        <row r="84">
          <cell r="A84" t="str">
            <v>22:Q4</v>
          </cell>
          <cell r="B84">
            <v>44.3</v>
          </cell>
          <cell r="C84">
            <v>12.83</v>
          </cell>
        </row>
        <row r="85">
          <cell r="A85" t="str">
            <v>23:Q1</v>
          </cell>
          <cell r="B85">
            <v>44.23</v>
          </cell>
          <cell r="C85">
            <v>10.84</v>
          </cell>
        </row>
        <row r="86">
          <cell r="A86" t="str">
            <v>23:Q2</v>
          </cell>
          <cell r="B86">
            <v>50.27</v>
          </cell>
          <cell r="C86">
            <v>12.04</v>
          </cell>
        </row>
        <row r="87">
          <cell r="A87" t="str">
            <v>23:Q3</v>
          </cell>
          <cell r="B87">
            <v>39.78</v>
          </cell>
          <cell r="C87">
            <v>13.55</v>
          </cell>
        </row>
        <row r="88">
          <cell r="A88" t="str">
            <v>23:Q4</v>
          </cell>
          <cell r="B88">
            <v>45.21</v>
          </cell>
          <cell r="C88">
            <v>13.910761154855644</v>
          </cell>
        </row>
        <row r="89">
          <cell r="A89" t="str">
            <v>24:Q1</v>
          </cell>
          <cell r="B89">
            <v>50.34</v>
          </cell>
          <cell r="C89">
            <v>11.08</v>
          </cell>
        </row>
        <row r="90">
          <cell r="A90" t="str">
            <v>24:Q2</v>
          </cell>
          <cell r="B90">
            <v>47.4</v>
          </cell>
          <cell r="C90">
            <v>12.75</v>
          </cell>
        </row>
        <row r="91">
          <cell r="A91" t="str">
            <v>24:Q3</v>
          </cell>
          <cell r="B91">
            <v>37.152890274841411</v>
          </cell>
          <cell r="C91">
            <v>17.919263131853697</v>
          </cell>
        </row>
        <row r="92">
          <cell r="A92" t="str">
            <v>24:Q4</v>
          </cell>
          <cell r="B92">
            <v>44.251960432576496</v>
          </cell>
          <cell r="C92">
            <v>14.17661831787197</v>
          </cell>
        </row>
        <row r="93">
          <cell r="A93" t="str">
            <v>25:Q1</v>
          </cell>
          <cell r="B93">
            <v>40.989306221355903</v>
          </cell>
          <cell r="C93">
            <v>15.8404888584523</v>
          </cell>
        </row>
        <row r="94">
          <cell r="A94" t="str">
            <v>25:Q2</v>
          </cell>
          <cell r="B94">
            <v>46.408728154359025</v>
          </cell>
          <cell r="C94">
            <v>13.961006162238609</v>
          </cell>
        </row>
        <row r="95">
          <cell r="A95" t="str">
            <v>25:Q3</v>
          </cell>
          <cell r="B95">
            <v>39.223668367639505</v>
          </cell>
          <cell r="C95">
            <v>16.312138065477896</v>
          </cell>
        </row>
        <row r="96">
          <cell r="A96" t="str">
            <v>25:Q4</v>
          </cell>
          <cell r="B96">
            <v>36.335939880166549</v>
          </cell>
          <cell r="C96">
            <v>16.294302833350258</v>
          </cell>
        </row>
        <row r="97">
          <cell r="A97" t="str">
            <v>26:Q1</v>
          </cell>
          <cell r="B97">
            <v>42.96</v>
          </cell>
          <cell r="C97">
            <v>17.309999999999999</v>
          </cell>
        </row>
      </sheetData>
      <sheetData sheetId="28" refreshError="1"/>
      <sheetData sheetId="29">
        <row r="1">
          <cell r="A1" t="str">
            <v xml:space="preserve">Number of Consumers with New Foreclosures and Bankruptcies </v>
          </cell>
        </row>
        <row r="2">
          <cell r="A2" t="str">
            <v>Thousands</v>
          </cell>
        </row>
        <row r="3">
          <cell r="A3" t="str">
            <v>Return to Table of Contents</v>
          </cell>
        </row>
        <row r="4">
          <cell r="B4" t="str">
            <v>foreclosure</v>
          </cell>
          <cell r="C4" t="str">
            <v>bankruptcy</v>
          </cell>
        </row>
        <row r="5">
          <cell r="A5" t="str">
            <v>03:Q1</v>
          </cell>
          <cell r="B5">
            <v>203.32</v>
          </cell>
          <cell r="C5">
            <v>612.26</v>
          </cell>
        </row>
        <row r="6">
          <cell r="A6" t="str">
            <v>03:Q2</v>
          </cell>
          <cell r="B6">
            <v>169.9</v>
          </cell>
          <cell r="C6">
            <v>628.66</v>
          </cell>
        </row>
        <row r="7">
          <cell r="A7" t="str">
            <v>03:Q3</v>
          </cell>
          <cell r="B7">
            <v>178.16</v>
          </cell>
          <cell r="C7">
            <v>542.44000000000005</v>
          </cell>
        </row>
        <row r="8">
          <cell r="A8" t="str">
            <v>03:Q4</v>
          </cell>
          <cell r="B8">
            <v>193.24</v>
          </cell>
          <cell r="C8">
            <v>516.02</v>
          </cell>
        </row>
        <row r="9">
          <cell r="A9" t="str">
            <v>04:Q1</v>
          </cell>
          <cell r="B9">
            <v>186.06</v>
          </cell>
          <cell r="C9">
            <v>534.9</v>
          </cell>
        </row>
        <row r="10">
          <cell r="A10" t="str">
            <v>04:Q2</v>
          </cell>
          <cell r="B10">
            <v>171.44</v>
          </cell>
          <cell r="C10">
            <v>579.32000000000005</v>
          </cell>
        </row>
        <row r="11">
          <cell r="A11" t="str">
            <v>04:Q3</v>
          </cell>
          <cell r="B11">
            <v>168.8</v>
          </cell>
          <cell r="C11">
            <v>530.52</v>
          </cell>
        </row>
        <row r="12">
          <cell r="A12" t="str">
            <v>04:Q4</v>
          </cell>
          <cell r="B12">
            <v>184.14</v>
          </cell>
          <cell r="C12">
            <v>572.91999999999996</v>
          </cell>
        </row>
        <row r="13">
          <cell r="A13" t="str">
            <v>05:Q1</v>
          </cell>
          <cell r="B13">
            <v>171.52</v>
          </cell>
          <cell r="C13">
            <v>462.08</v>
          </cell>
        </row>
        <row r="14">
          <cell r="A14" t="str">
            <v>05:Q2</v>
          </cell>
          <cell r="B14">
            <v>148.78</v>
          </cell>
          <cell r="C14">
            <v>662.5</v>
          </cell>
        </row>
        <row r="15">
          <cell r="A15" t="str">
            <v>05:Q3</v>
          </cell>
          <cell r="B15">
            <v>157.9</v>
          </cell>
          <cell r="C15">
            <v>667.92</v>
          </cell>
        </row>
        <row r="16">
          <cell r="A16" t="str">
            <v>05:Q4</v>
          </cell>
          <cell r="B16">
            <v>166.72</v>
          </cell>
          <cell r="C16">
            <v>948.62</v>
          </cell>
        </row>
        <row r="17">
          <cell r="A17" t="str">
            <v>06:Q1</v>
          </cell>
          <cell r="B17">
            <v>172.86</v>
          </cell>
          <cell r="C17">
            <v>213.86</v>
          </cell>
        </row>
        <row r="18">
          <cell r="A18" t="str">
            <v>06:Q2</v>
          </cell>
          <cell r="B18">
            <v>179.42</v>
          </cell>
          <cell r="C18">
            <v>250.96</v>
          </cell>
        </row>
        <row r="19">
          <cell r="A19" t="str">
            <v>06:Q3</v>
          </cell>
          <cell r="B19">
            <v>189.26</v>
          </cell>
          <cell r="C19">
            <v>271.27999999999997</v>
          </cell>
        </row>
        <row r="20">
          <cell r="A20" t="str">
            <v>06:Q4</v>
          </cell>
          <cell r="B20">
            <v>220.2</v>
          </cell>
          <cell r="C20">
            <v>276.16000000000003</v>
          </cell>
        </row>
        <row r="21">
          <cell r="A21" t="str">
            <v>07:Q1</v>
          </cell>
          <cell r="B21">
            <v>267.66000000000003</v>
          </cell>
          <cell r="C21">
            <v>258.83999999999997</v>
          </cell>
        </row>
        <row r="22">
          <cell r="A22" t="str">
            <v>07:Q2</v>
          </cell>
          <cell r="B22">
            <v>243.9</v>
          </cell>
          <cell r="C22">
            <v>290.56</v>
          </cell>
        </row>
        <row r="23">
          <cell r="A23" t="str">
            <v>07:Q3</v>
          </cell>
          <cell r="B23">
            <v>325.44</v>
          </cell>
          <cell r="C23">
            <v>318.42</v>
          </cell>
        </row>
        <row r="24">
          <cell r="A24" t="str">
            <v>07:Q4</v>
          </cell>
          <cell r="B24">
            <v>348.52</v>
          </cell>
          <cell r="C24">
            <v>352.32</v>
          </cell>
        </row>
        <row r="25">
          <cell r="A25" t="str">
            <v>08:Q1</v>
          </cell>
          <cell r="B25">
            <v>429.8</v>
          </cell>
          <cell r="C25">
            <v>326.86</v>
          </cell>
        </row>
        <row r="26">
          <cell r="A26" t="str">
            <v>08:Q2</v>
          </cell>
          <cell r="B26">
            <v>455.44</v>
          </cell>
          <cell r="C26">
            <v>385.46</v>
          </cell>
        </row>
        <row r="27">
          <cell r="A27" t="str">
            <v>08:Q3</v>
          </cell>
          <cell r="B27">
            <v>446.58</v>
          </cell>
          <cell r="C27">
            <v>404.08</v>
          </cell>
        </row>
        <row r="28">
          <cell r="A28" t="str">
            <v>08:Q4</v>
          </cell>
          <cell r="B28">
            <v>424.04</v>
          </cell>
          <cell r="C28">
            <v>431.76</v>
          </cell>
        </row>
        <row r="29">
          <cell r="A29" t="str">
            <v>09:Q1</v>
          </cell>
          <cell r="B29">
            <v>517.38</v>
          </cell>
          <cell r="C29">
            <v>413.9</v>
          </cell>
        </row>
        <row r="30">
          <cell r="A30" t="str">
            <v>09:Q2</v>
          </cell>
          <cell r="B30">
            <v>566.17999999999995</v>
          </cell>
          <cell r="C30">
            <v>524.08000000000004</v>
          </cell>
        </row>
        <row r="31">
          <cell r="A31" t="str">
            <v>09:Q3</v>
          </cell>
          <cell r="B31">
            <v>488.58</v>
          </cell>
          <cell r="C31">
            <v>517.55999999999995</v>
          </cell>
        </row>
        <row r="32">
          <cell r="A32" t="str">
            <v>09:Q4</v>
          </cell>
          <cell r="B32">
            <v>465.8</v>
          </cell>
          <cell r="C32">
            <v>486.86</v>
          </cell>
        </row>
        <row r="33">
          <cell r="A33" t="str">
            <v>10:Q1</v>
          </cell>
          <cell r="B33">
            <v>456.5</v>
          </cell>
          <cell r="C33">
            <v>463.18</v>
          </cell>
        </row>
        <row r="34">
          <cell r="A34" t="str">
            <v>10:Q2</v>
          </cell>
          <cell r="B34">
            <v>483.76</v>
          </cell>
          <cell r="C34">
            <v>621.41999999999996</v>
          </cell>
        </row>
        <row r="35">
          <cell r="A35" t="str">
            <v>10:Q3</v>
          </cell>
          <cell r="B35">
            <v>457.32</v>
          </cell>
          <cell r="C35">
            <v>521.52</v>
          </cell>
        </row>
        <row r="36">
          <cell r="A36" t="str">
            <v>10:Q4</v>
          </cell>
          <cell r="B36">
            <v>447.06</v>
          </cell>
          <cell r="C36">
            <v>500.12</v>
          </cell>
        </row>
        <row r="37">
          <cell r="A37" t="str">
            <v>11:Q1</v>
          </cell>
          <cell r="B37">
            <v>368.06</v>
          </cell>
          <cell r="C37">
            <v>433.6</v>
          </cell>
        </row>
        <row r="38">
          <cell r="A38" t="str">
            <v>11:Q2</v>
          </cell>
          <cell r="B38">
            <v>284.22000000000003</v>
          </cell>
          <cell r="C38">
            <v>473.36</v>
          </cell>
        </row>
        <row r="39">
          <cell r="A39" t="str">
            <v>11:Q3</v>
          </cell>
          <cell r="B39">
            <v>264.33999999999997</v>
          </cell>
          <cell r="C39">
            <v>423.34</v>
          </cell>
        </row>
        <row r="40">
          <cell r="A40" t="str">
            <v>11:Q4</v>
          </cell>
          <cell r="B40">
            <v>289.38</v>
          </cell>
          <cell r="C40">
            <v>425.4</v>
          </cell>
        </row>
        <row r="41">
          <cell r="A41" t="str">
            <v>12:Q1</v>
          </cell>
          <cell r="B41">
            <v>291.42</v>
          </cell>
          <cell r="C41">
            <v>371.42</v>
          </cell>
        </row>
        <row r="42">
          <cell r="A42" t="str">
            <v>12:Q2</v>
          </cell>
          <cell r="B42">
            <v>255.66</v>
          </cell>
          <cell r="C42">
            <v>398.98</v>
          </cell>
        </row>
        <row r="43">
          <cell r="A43" t="str">
            <v>12:Q3</v>
          </cell>
          <cell r="B43">
            <v>241.68</v>
          </cell>
          <cell r="C43">
            <v>354.3</v>
          </cell>
        </row>
        <row r="44">
          <cell r="A44" t="str">
            <v>12:Q4</v>
          </cell>
          <cell r="B44">
            <v>209.66</v>
          </cell>
          <cell r="C44">
            <v>335.92</v>
          </cell>
        </row>
        <row r="45">
          <cell r="A45" t="str">
            <v>13:Q1</v>
          </cell>
          <cell r="B45">
            <v>183.54</v>
          </cell>
          <cell r="C45">
            <v>309.2</v>
          </cell>
        </row>
        <row r="46">
          <cell r="A46" t="str">
            <v>13:Q2</v>
          </cell>
          <cell r="B46">
            <v>199.62</v>
          </cell>
          <cell r="C46">
            <v>380.02</v>
          </cell>
        </row>
        <row r="47">
          <cell r="A47" t="str">
            <v>13:Q3</v>
          </cell>
          <cell r="B47">
            <v>167.66</v>
          </cell>
          <cell r="C47">
            <v>355.46</v>
          </cell>
        </row>
        <row r="48">
          <cell r="A48" t="str">
            <v>13:Q4</v>
          </cell>
          <cell r="B48">
            <v>157.32</v>
          </cell>
          <cell r="C48">
            <v>332.36</v>
          </cell>
        </row>
        <row r="49">
          <cell r="A49" t="str">
            <v>14:Q1</v>
          </cell>
          <cell r="B49">
            <v>145.13999999999999</v>
          </cell>
          <cell r="C49">
            <v>266.04000000000002</v>
          </cell>
        </row>
        <row r="50">
          <cell r="A50" t="str">
            <v>14:Q2</v>
          </cell>
          <cell r="B50">
            <v>115.64</v>
          </cell>
          <cell r="C50">
            <v>308.12</v>
          </cell>
        </row>
        <row r="51">
          <cell r="A51" t="str">
            <v>14:Q3</v>
          </cell>
          <cell r="B51">
            <v>113.08</v>
          </cell>
          <cell r="C51">
            <v>262.76</v>
          </cell>
        </row>
        <row r="52">
          <cell r="A52" t="str">
            <v>14:Q4</v>
          </cell>
          <cell r="B52">
            <v>121.76</v>
          </cell>
          <cell r="C52">
            <v>267.76</v>
          </cell>
        </row>
        <row r="53">
          <cell r="A53" t="str">
            <v>15:Q1</v>
          </cell>
          <cell r="B53">
            <v>112.34</v>
          </cell>
          <cell r="C53">
            <v>255.22</v>
          </cell>
        </row>
        <row r="54">
          <cell r="A54" t="str">
            <v>15:Q2</v>
          </cell>
          <cell r="B54">
            <v>95.14</v>
          </cell>
          <cell r="C54">
            <v>265.3</v>
          </cell>
        </row>
        <row r="55">
          <cell r="A55" t="str">
            <v>15:Q3</v>
          </cell>
          <cell r="B55">
            <v>92.6</v>
          </cell>
          <cell r="C55">
            <v>225.86</v>
          </cell>
        </row>
        <row r="56">
          <cell r="A56" t="str">
            <v>15:Q4</v>
          </cell>
          <cell r="B56">
            <v>104.1</v>
          </cell>
          <cell r="C56">
            <v>213.28</v>
          </cell>
        </row>
        <row r="57">
          <cell r="A57" t="str">
            <v>16:Q1</v>
          </cell>
          <cell r="B57">
            <v>96.82</v>
          </cell>
          <cell r="C57">
            <v>206.9</v>
          </cell>
        </row>
        <row r="58">
          <cell r="A58" t="str">
            <v>16:Q2</v>
          </cell>
          <cell r="B58">
            <v>82.84</v>
          </cell>
          <cell r="C58">
            <v>224.42</v>
          </cell>
        </row>
        <row r="59">
          <cell r="A59" t="str">
            <v>16:Q3</v>
          </cell>
          <cell r="B59">
            <v>80.62</v>
          </cell>
          <cell r="C59">
            <v>213.3</v>
          </cell>
        </row>
        <row r="60">
          <cell r="A60" t="str">
            <v>16:Q4</v>
          </cell>
          <cell r="B60">
            <v>78.92</v>
          </cell>
          <cell r="C60">
            <v>204.16</v>
          </cell>
        </row>
        <row r="61">
          <cell r="A61" t="str">
            <v>17:Q1</v>
          </cell>
          <cell r="B61">
            <v>90.66</v>
          </cell>
          <cell r="C61">
            <v>203.44</v>
          </cell>
        </row>
        <row r="62">
          <cell r="A62" t="str">
            <v>17:Q2</v>
          </cell>
          <cell r="B62">
            <v>84.82</v>
          </cell>
          <cell r="C62">
            <v>224.02</v>
          </cell>
        </row>
        <row r="63">
          <cell r="A63" t="str">
            <v>17:Q3</v>
          </cell>
          <cell r="B63">
            <v>69.58</v>
          </cell>
          <cell r="C63">
            <v>208.44</v>
          </cell>
        </row>
        <row r="64">
          <cell r="A64" t="str">
            <v>17:Q4</v>
          </cell>
          <cell r="B64">
            <v>69.16</v>
          </cell>
          <cell r="C64">
            <v>200.4</v>
          </cell>
        </row>
        <row r="65">
          <cell r="A65" t="str">
            <v>18:Q1</v>
          </cell>
          <cell r="B65">
            <v>76.48</v>
          </cell>
          <cell r="C65">
            <v>191.54</v>
          </cell>
        </row>
        <row r="66">
          <cell r="A66" t="str">
            <v>18:Q2</v>
          </cell>
          <cell r="B66">
            <v>75.540000000000006</v>
          </cell>
          <cell r="C66">
            <v>224.9</v>
          </cell>
        </row>
        <row r="67">
          <cell r="A67" t="str">
            <v>18:Q3</v>
          </cell>
          <cell r="B67">
            <v>64.36</v>
          </cell>
          <cell r="C67">
            <v>214.54</v>
          </cell>
        </row>
        <row r="68">
          <cell r="A68" t="str">
            <v>18:Q4</v>
          </cell>
          <cell r="B68">
            <v>67.98</v>
          </cell>
          <cell r="C68">
            <v>195.2</v>
          </cell>
        </row>
        <row r="69">
          <cell r="A69" t="str">
            <v>19:Q1</v>
          </cell>
          <cell r="B69">
            <v>71.16</v>
          </cell>
          <cell r="C69">
            <v>192.08</v>
          </cell>
        </row>
        <row r="70">
          <cell r="A70" t="str">
            <v>19:Q2</v>
          </cell>
          <cell r="B70">
            <v>70.400000000000006</v>
          </cell>
          <cell r="C70">
            <v>234.28</v>
          </cell>
        </row>
        <row r="71">
          <cell r="A71" t="str">
            <v>19:Q3</v>
          </cell>
          <cell r="B71">
            <v>64.58</v>
          </cell>
          <cell r="C71">
            <v>186.12</v>
          </cell>
        </row>
        <row r="72">
          <cell r="A72" t="str">
            <v>19:Q4</v>
          </cell>
          <cell r="B72">
            <v>71.42</v>
          </cell>
          <cell r="C72">
            <v>201.82</v>
          </cell>
        </row>
        <row r="73">
          <cell r="A73" t="str">
            <v>20:Q1</v>
          </cell>
          <cell r="B73">
            <v>74.86</v>
          </cell>
          <cell r="C73">
            <v>188.98</v>
          </cell>
        </row>
        <row r="74">
          <cell r="A74" t="str">
            <v>20:Q2</v>
          </cell>
          <cell r="B74">
            <v>23.9</v>
          </cell>
          <cell r="C74">
            <v>135.6</v>
          </cell>
        </row>
        <row r="75">
          <cell r="A75" t="str">
            <v>20:Q3</v>
          </cell>
          <cell r="B75">
            <v>16.02</v>
          </cell>
          <cell r="C75">
            <v>131.84</v>
          </cell>
        </row>
        <row r="76">
          <cell r="A76" t="str">
            <v>20:Q4</v>
          </cell>
          <cell r="B76">
            <v>14.22</v>
          </cell>
          <cell r="C76">
            <v>120.64</v>
          </cell>
        </row>
        <row r="77">
          <cell r="A77" t="str">
            <v>21:Q1</v>
          </cell>
          <cell r="B77">
            <v>11.46</v>
          </cell>
          <cell r="C77">
            <v>113.78</v>
          </cell>
        </row>
        <row r="78">
          <cell r="A78" t="str">
            <v>21:Q2</v>
          </cell>
          <cell r="B78">
            <v>8.1</v>
          </cell>
          <cell r="C78">
            <v>118.68</v>
          </cell>
        </row>
        <row r="79">
          <cell r="A79" t="str">
            <v>21:Q3</v>
          </cell>
          <cell r="B79">
            <v>9.6</v>
          </cell>
          <cell r="C79">
            <v>99.3</v>
          </cell>
        </row>
        <row r="80">
          <cell r="A80" t="str">
            <v>21:Q4</v>
          </cell>
          <cell r="B80">
            <v>8.8800000000000008</v>
          </cell>
          <cell r="C80">
            <v>93.8</v>
          </cell>
        </row>
        <row r="81">
          <cell r="A81" t="str">
            <v>22:Q1</v>
          </cell>
          <cell r="B81">
            <v>24.24</v>
          </cell>
          <cell r="C81">
            <v>90.88</v>
          </cell>
        </row>
        <row r="82">
          <cell r="A82" t="str">
            <v>22:Q2</v>
          </cell>
          <cell r="B82">
            <v>35.119999999999997</v>
          </cell>
          <cell r="C82">
            <v>95.22</v>
          </cell>
        </row>
        <row r="83">
          <cell r="A83" t="str">
            <v>22:Q3</v>
          </cell>
          <cell r="B83">
            <v>28.5</v>
          </cell>
          <cell r="C83">
            <v>99.08</v>
          </cell>
        </row>
        <row r="84">
          <cell r="A84" t="str">
            <v>22:Q4</v>
          </cell>
          <cell r="B84">
            <v>34.28</v>
          </cell>
          <cell r="C84">
            <v>98.7</v>
          </cell>
        </row>
        <row r="85">
          <cell r="A85" t="str">
            <v>23:Q1</v>
          </cell>
          <cell r="B85">
            <v>35.659999999999997</v>
          </cell>
          <cell r="C85">
            <v>102.44</v>
          </cell>
        </row>
        <row r="86">
          <cell r="A86" t="str">
            <v>23:Q2</v>
          </cell>
          <cell r="B86">
            <v>38.840000000000003</v>
          </cell>
          <cell r="C86">
            <v>114.14</v>
          </cell>
        </row>
        <row r="87">
          <cell r="A87" t="str">
            <v>23:Q3</v>
          </cell>
          <cell r="B87">
            <v>36.1</v>
          </cell>
          <cell r="C87">
            <v>115.66</v>
          </cell>
        </row>
        <row r="88">
          <cell r="A88" t="str">
            <v>23:Q4</v>
          </cell>
          <cell r="B88">
            <v>40.22</v>
          </cell>
          <cell r="C88">
            <v>113.6</v>
          </cell>
        </row>
        <row r="89">
          <cell r="A89" t="str">
            <v>24:Q1</v>
          </cell>
          <cell r="B89">
            <v>44.18</v>
          </cell>
          <cell r="C89">
            <v>121.36</v>
          </cell>
        </row>
        <row r="90">
          <cell r="A90" t="str">
            <v>24:Q2</v>
          </cell>
          <cell r="B90">
            <v>47.18</v>
          </cell>
          <cell r="C90">
            <v>136.18</v>
          </cell>
        </row>
        <row r="91">
          <cell r="A91" t="str">
            <v>24:Q3</v>
          </cell>
          <cell r="B91">
            <v>41.52</v>
          </cell>
          <cell r="C91">
            <v>126.14</v>
          </cell>
        </row>
        <row r="92">
          <cell r="A92" t="str">
            <v>24:Q4</v>
          </cell>
          <cell r="B92">
            <v>41.22</v>
          </cell>
          <cell r="C92">
            <v>122.66</v>
          </cell>
        </row>
        <row r="93">
          <cell r="A93" t="str">
            <v>25:Q1</v>
          </cell>
          <cell r="B93">
            <v>61.66</v>
          </cell>
          <cell r="C93">
            <v>104.86</v>
          </cell>
        </row>
        <row r="94">
          <cell r="A94" t="str">
            <v>25:Q2</v>
          </cell>
          <cell r="B94">
            <v>52.8</v>
          </cell>
          <cell r="C94">
            <v>131.32</v>
          </cell>
        </row>
        <row r="95">
          <cell r="A95" t="str">
            <v>25:Q3</v>
          </cell>
          <cell r="B95">
            <v>54.76</v>
          </cell>
          <cell r="C95">
            <v>141.63999999999999</v>
          </cell>
        </row>
        <row r="96">
          <cell r="A96" t="str">
            <v>25:Q4</v>
          </cell>
          <cell r="B96">
            <v>58.14</v>
          </cell>
          <cell r="C96">
            <v>123.82</v>
          </cell>
        </row>
        <row r="97">
          <cell r="A97" t="str">
            <v>26:Q1</v>
          </cell>
          <cell r="B97">
            <v>59.16</v>
          </cell>
          <cell r="C97">
            <v>124.02</v>
          </cell>
        </row>
      </sheetData>
      <sheetData sheetId="30" refreshError="1"/>
      <sheetData sheetId="31">
        <row r="1">
          <cell r="A1" t="str">
            <v>Third Party Collections</v>
          </cell>
        </row>
        <row r="2">
          <cell r="A2" t="str">
            <v>Percent</v>
          </cell>
        </row>
        <row r="3">
          <cell r="A3" t="str">
            <v>Return to Table of Contents</v>
          </cell>
        </row>
        <row r="4">
          <cell r="B4" t="str">
            <v>proportion of consumers with collection</v>
          </cell>
          <cell r="C4" t="str">
            <v>average collection amount per person with item</v>
          </cell>
        </row>
        <row r="5">
          <cell r="A5" t="str">
            <v>03:Q1</v>
          </cell>
          <cell r="B5">
            <v>9.77</v>
          </cell>
          <cell r="C5">
            <v>901.1</v>
          </cell>
        </row>
        <row r="6">
          <cell r="A6" t="str">
            <v>03:Q2</v>
          </cell>
          <cell r="B6">
            <v>9.2899999999999991</v>
          </cell>
          <cell r="C6">
            <v>867.47</v>
          </cell>
        </row>
        <row r="7">
          <cell r="A7" t="str">
            <v>03:Q3</v>
          </cell>
          <cell r="B7">
            <v>9.0399999999999991</v>
          </cell>
          <cell r="C7">
            <v>995.35</v>
          </cell>
        </row>
        <row r="8">
          <cell r="A8" t="str">
            <v>03:Q4</v>
          </cell>
          <cell r="B8">
            <v>9.33</v>
          </cell>
          <cell r="C8">
            <v>971.75</v>
          </cell>
        </row>
        <row r="9">
          <cell r="A9" t="str">
            <v>04:Q1</v>
          </cell>
          <cell r="B9">
            <v>10.55</v>
          </cell>
          <cell r="C9">
            <v>1011.78</v>
          </cell>
        </row>
        <row r="10">
          <cell r="A10" t="str">
            <v>04:Q2</v>
          </cell>
          <cell r="B10">
            <v>11.71</v>
          </cell>
          <cell r="C10">
            <v>1046</v>
          </cell>
        </row>
        <row r="11">
          <cell r="A11" t="str">
            <v>04:Q3</v>
          </cell>
          <cell r="B11">
            <v>11.8</v>
          </cell>
          <cell r="C11">
            <v>1059.55</v>
          </cell>
        </row>
        <row r="12">
          <cell r="A12" t="str">
            <v>04:Q4</v>
          </cell>
          <cell r="B12">
            <v>12.2</v>
          </cell>
          <cell r="C12">
            <v>1068.27</v>
          </cell>
        </row>
        <row r="13">
          <cell r="A13" t="str">
            <v>05:Q1</v>
          </cell>
          <cell r="B13">
            <v>12.35</v>
          </cell>
          <cell r="C13">
            <v>1059.1400000000001</v>
          </cell>
        </row>
        <row r="14">
          <cell r="A14" t="str">
            <v>05:Q2</v>
          </cell>
          <cell r="B14">
            <v>12.38</v>
          </cell>
          <cell r="C14">
            <v>1079.0899999999999</v>
          </cell>
        </row>
        <row r="15">
          <cell r="A15" t="str">
            <v>05:Q3</v>
          </cell>
          <cell r="B15">
            <v>12.75</v>
          </cell>
          <cell r="C15">
            <v>1136.8800000000001</v>
          </cell>
        </row>
        <row r="16">
          <cell r="A16" t="str">
            <v>05:Q4</v>
          </cell>
          <cell r="B16">
            <v>12.48</v>
          </cell>
          <cell r="C16">
            <v>1148.93</v>
          </cell>
        </row>
        <row r="17">
          <cell r="A17" t="str">
            <v>06:Q1</v>
          </cell>
          <cell r="B17">
            <v>12.28</v>
          </cell>
          <cell r="C17">
            <v>1197.97</v>
          </cell>
        </row>
        <row r="18">
          <cell r="A18" t="str">
            <v>06:Q2</v>
          </cell>
          <cell r="B18">
            <v>12.41</v>
          </cell>
          <cell r="C18">
            <v>1169.6300000000001</v>
          </cell>
        </row>
        <row r="19">
          <cell r="A19" t="str">
            <v>06:Q3</v>
          </cell>
          <cell r="B19">
            <v>12.53</v>
          </cell>
          <cell r="C19">
            <v>1156.56</v>
          </cell>
        </row>
        <row r="20">
          <cell r="A20" t="str">
            <v>06:Q4</v>
          </cell>
          <cell r="B20">
            <v>12.78</v>
          </cell>
          <cell r="C20">
            <v>1165.17</v>
          </cell>
        </row>
        <row r="21">
          <cell r="A21" t="str">
            <v>07:Q1</v>
          </cell>
          <cell r="B21">
            <v>12.63</v>
          </cell>
          <cell r="C21">
            <v>1231.45</v>
          </cell>
        </row>
        <row r="22">
          <cell r="A22" t="str">
            <v>07:Q2</v>
          </cell>
          <cell r="B22">
            <v>12.49</v>
          </cell>
          <cell r="C22">
            <v>1296.54</v>
          </cell>
        </row>
        <row r="23">
          <cell r="A23" t="str">
            <v>07:Q3</v>
          </cell>
          <cell r="B23">
            <v>12.6</v>
          </cell>
          <cell r="C23">
            <v>1314.86</v>
          </cell>
        </row>
        <row r="24">
          <cell r="A24" t="str">
            <v>07:Q4</v>
          </cell>
          <cell r="B24">
            <v>12.76</v>
          </cell>
          <cell r="C24">
            <v>1300.6300000000001</v>
          </cell>
        </row>
        <row r="25">
          <cell r="A25" t="str">
            <v>08:Q1</v>
          </cell>
          <cell r="B25">
            <v>13.05</v>
          </cell>
          <cell r="C25">
            <v>1339.57</v>
          </cell>
        </row>
        <row r="26">
          <cell r="A26" t="str">
            <v>08:Q2</v>
          </cell>
          <cell r="B26">
            <v>12.88</v>
          </cell>
          <cell r="C26">
            <v>1342.43</v>
          </cell>
        </row>
        <row r="27">
          <cell r="A27" t="str">
            <v>08:Q3</v>
          </cell>
          <cell r="B27">
            <v>12.93</v>
          </cell>
          <cell r="C27">
            <v>1336.87</v>
          </cell>
        </row>
        <row r="28">
          <cell r="A28" t="str">
            <v>08:Q4</v>
          </cell>
          <cell r="B28">
            <v>13.15</v>
          </cell>
          <cell r="C28">
            <v>1317.59</v>
          </cell>
        </row>
        <row r="29">
          <cell r="A29" t="str">
            <v>09:Q1</v>
          </cell>
          <cell r="B29">
            <v>13.66</v>
          </cell>
          <cell r="C29">
            <v>1313.04</v>
          </cell>
        </row>
        <row r="30">
          <cell r="A30" t="str">
            <v>09:Q2</v>
          </cell>
          <cell r="B30">
            <v>13.84</v>
          </cell>
          <cell r="C30">
            <v>1314.99</v>
          </cell>
        </row>
        <row r="31">
          <cell r="A31" t="str">
            <v>09:Q3</v>
          </cell>
          <cell r="B31">
            <v>13.7</v>
          </cell>
          <cell r="C31">
            <v>1320.44</v>
          </cell>
        </row>
        <row r="32">
          <cell r="A32" t="str">
            <v>09:Q4</v>
          </cell>
          <cell r="B32">
            <v>13.95</v>
          </cell>
          <cell r="C32">
            <v>1378.96</v>
          </cell>
        </row>
        <row r="33">
          <cell r="A33" t="str">
            <v>10:Q1</v>
          </cell>
          <cell r="B33">
            <v>14.22</v>
          </cell>
          <cell r="C33">
            <v>1367</v>
          </cell>
        </row>
        <row r="34">
          <cell r="A34" t="str">
            <v>10:Q2</v>
          </cell>
          <cell r="B34">
            <v>14.16</v>
          </cell>
          <cell r="C34">
            <v>1427</v>
          </cell>
        </row>
        <row r="35">
          <cell r="A35" t="str">
            <v>10:Q3</v>
          </cell>
          <cell r="B35">
            <v>14.18</v>
          </cell>
          <cell r="C35">
            <v>1429</v>
          </cell>
        </row>
        <row r="36">
          <cell r="A36" t="str">
            <v>10:Q4</v>
          </cell>
          <cell r="B36">
            <v>14.13</v>
          </cell>
          <cell r="C36">
            <v>1367</v>
          </cell>
        </row>
        <row r="37">
          <cell r="A37" t="str">
            <v>11:Q1</v>
          </cell>
          <cell r="B37">
            <v>13.95</v>
          </cell>
          <cell r="C37">
            <v>1386</v>
          </cell>
        </row>
        <row r="38">
          <cell r="A38" t="str">
            <v>11:Q2</v>
          </cell>
          <cell r="B38">
            <v>14.38</v>
          </cell>
          <cell r="C38">
            <v>1389</v>
          </cell>
        </row>
        <row r="39">
          <cell r="A39" t="str">
            <v>11:Q3</v>
          </cell>
          <cell r="B39">
            <v>14.26</v>
          </cell>
          <cell r="C39">
            <v>1415.8</v>
          </cell>
        </row>
        <row r="40">
          <cell r="A40" t="str">
            <v>11:Q4</v>
          </cell>
          <cell r="B40">
            <v>14.29</v>
          </cell>
          <cell r="C40">
            <v>1437.18</v>
          </cell>
        </row>
        <row r="41">
          <cell r="A41" t="str">
            <v>12:Q1</v>
          </cell>
          <cell r="B41">
            <v>14.26</v>
          </cell>
          <cell r="C41">
            <v>1497.01</v>
          </cell>
        </row>
        <row r="42">
          <cell r="A42" t="str">
            <v>12:Q2</v>
          </cell>
          <cell r="B42">
            <v>14.25</v>
          </cell>
          <cell r="C42">
            <v>1549.97</v>
          </cell>
        </row>
        <row r="43">
          <cell r="A43" t="str">
            <v>12:Q3</v>
          </cell>
          <cell r="B43">
            <v>14</v>
          </cell>
          <cell r="C43">
            <v>1545.59</v>
          </cell>
        </row>
        <row r="44">
          <cell r="A44" t="str">
            <v>12:Q4</v>
          </cell>
          <cell r="B44">
            <v>14.63</v>
          </cell>
          <cell r="C44">
            <v>1498.55</v>
          </cell>
        </row>
        <row r="45">
          <cell r="A45" t="str">
            <v>13:Q1</v>
          </cell>
          <cell r="B45">
            <v>14.64</v>
          </cell>
          <cell r="C45">
            <v>1433.31</v>
          </cell>
        </row>
        <row r="46">
          <cell r="A46" t="str">
            <v>13:Q2</v>
          </cell>
          <cell r="B46">
            <v>14.6</v>
          </cell>
          <cell r="C46">
            <v>1408.92</v>
          </cell>
        </row>
        <row r="47">
          <cell r="A47" t="str">
            <v>13:Q3</v>
          </cell>
          <cell r="B47">
            <v>13.83</v>
          </cell>
          <cell r="C47">
            <v>1457.72</v>
          </cell>
        </row>
        <row r="48">
          <cell r="A48" t="str">
            <v>13:Q4</v>
          </cell>
          <cell r="B48">
            <v>13.88</v>
          </cell>
          <cell r="C48">
            <v>1520.29</v>
          </cell>
        </row>
        <row r="49">
          <cell r="A49" t="str">
            <v>14:Q1</v>
          </cell>
          <cell r="B49">
            <v>14.28</v>
          </cell>
          <cell r="C49">
            <v>1517.56</v>
          </cell>
        </row>
        <row r="50">
          <cell r="A50" t="str">
            <v>14:Q2</v>
          </cell>
          <cell r="B50">
            <v>14.31</v>
          </cell>
          <cell r="C50">
            <v>1502.5</v>
          </cell>
        </row>
        <row r="51">
          <cell r="A51" t="str">
            <v>14:Q3</v>
          </cell>
          <cell r="B51">
            <v>13.94</v>
          </cell>
          <cell r="C51">
            <v>1453.98</v>
          </cell>
        </row>
        <row r="52">
          <cell r="A52" t="str">
            <v>14:Q4</v>
          </cell>
          <cell r="B52">
            <v>13.48</v>
          </cell>
          <cell r="C52">
            <v>1430.03</v>
          </cell>
        </row>
        <row r="53">
          <cell r="A53" t="str">
            <v>15:Q1</v>
          </cell>
          <cell r="B53">
            <v>13.57</v>
          </cell>
          <cell r="C53">
            <v>1375.54</v>
          </cell>
        </row>
        <row r="54">
          <cell r="A54" t="str">
            <v>15:Q2</v>
          </cell>
          <cell r="B54">
            <v>13.91</v>
          </cell>
          <cell r="C54">
            <v>1391.17</v>
          </cell>
        </row>
        <row r="55">
          <cell r="A55" t="str">
            <v>15:Q3</v>
          </cell>
          <cell r="B55">
            <v>13.64</v>
          </cell>
          <cell r="C55">
            <v>1350.42</v>
          </cell>
        </row>
        <row r="56">
          <cell r="A56" t="str">
            <v>15:Q4</v>
          </cell>
          <cell r="B56">
            <v>13.52</v>
          </cell>
          <cell r="C56">
            <v>1352.6</v>
          </cell>
        </row>
        <row r="57">
          <cell r="A57" t="str">
            <v>16:Q1</v>
          </cell>
          <cell r="B57">
            <v>12.84</v>
          </cell>
          <cell r="C57">
            <v>1308.28</v>
          </cell>
        </row>
        <row r="58">
          <cell r="A58" t="str">
            <v>16:Q2</v>
          </cell>
          <cell r="B58">
            <v>12.57</v>
          </cell>
          <cell r="C58">
            <v>1309.53</v>
          </cell>
        </row>
        <row r="59">
          <cell r="A59" t="str">
            <v>16:Q3</v>
          </cell>
          <cell r="B59">
            <v>12.65</v>
          </cell>
          <cell r="C59">
            <v>1327.13</v>
          </cell>
        </row>
        <row r="60">
          <cell r="A60" t="str">
            <v>16:Q4</v>
          </cell>
          <cell r="B60">
            <v>12.26</v>
          </cell>
          <cell r="C60">
            <v>1342.55</v>
          </cell>
        </row>
        <row r="61">
          <cell r="A61" t="str">
            <v>17:Q1</v>
          </cell>
          <cell r="B61">
            <v>12.61</v>
          </cell>
          <cell r="C61">
            <v>1326.29</v>
          </cell>
        </row>
        <row r="62">
          <cell r="A62" t="str">
            <v>17:Q2</v>
          </cell>
          <cell r="B62">
            <v>12.45</v>
          </cell>
          <cell r="C62">
            <v>1387.17</v>
          </cell>
        </row>
        <row r="63">
          <cell r="A63" t="str">
            <v>17:Q3</v>
          </cell>
          <cell r="B63">
            <v>12.29</v>
          </cell>
          <cell r="C63">
            <v>1340.41</v>
          </cell>
        </row>
        <row r="64">
          <cell r="A64" t="str">
            <v>17:Q4</v>
          </cell>
          <cell r="B64">
            <v>10.7</v>
          </cell>
          <cell r="C64">
            <v>1308.8499999999999</v>
          </cell>
        </row>
        <row r="65">
          <cell r="A65" t="str">
            <v>18:Q1</v>
          </cell>
          <cell r="B65">
            <v>9.52</v>
          </cell>
          <cell r="C65">
            <v>1337.32</v>
          </cell>
        </row>
        <row r="66">
          <cell r="A66" t="str">
            <v>18:Q2</v>
          </cell>
          <cell r="B66">
            <v>9.42</v>
          </cell>
          <cell r="C66">
            <v>1386.17</v>
          </cell>
        </row>
        <row r="67">
          <cell r="A67" t="str">
            <v>18:Q3</v>
          </cell>
          <cell r="B67">
            <v>9.3800000000000008</v>
          </cell>
          <cell r="C67">
            <v>1421.67</v>
          </cell>
        </row>
        <row r="68">
          <cell r="A68" t="str">
            <v>18:Q4</v>
          </cell>
          <cell r="B68">
            <v>9.34</v>
          </cell>
          <cell r="C68">
            <v>1406.37</v>
          </cell>
        </row>
        <row r="69">
          <cell r="A69" t="str">
            <v>19:Q1</v>
          </cell>
          <cell r="B69">
            <v>9.1999999999999993</v>
          </cell>
          <cell r="C69">
            <v>1389.59</v>
          </cell>
        </row>
        <row r="70">
          <cell r="A70" t="str">
            <v>19:Q2</v>
          </cell>
          <cell r="B70">
            <v>9.33</v>
          </cell>
          <cell r="C70">
            <v>1414.6</v>
          </cell>
        </row>
        <row r="71">
          <cell r="A71" t="str">
            <v>19:Q3</v>
          </cell>
          <cell r="B71">
            <v>8.9700000000000006</v>
          </cell>
          <cell r="C71">
            <v>1455</v>
          </cell>
        </row>
        <row r="72">
          <cell r="A72" t="str">
            <v>19:Q4</v>
          </cell>
          <cell r="B72">
            <v>9.08</v>
          </cell>
          <cell r="C72">
            <v>1451.7</v>
          </cell>
        </row>
        <row r="73">
          <cell r="A73" t="str">
            <v>20:Q1</v>
          </cell>
          <cell r="B73">
            <v>8.93</v>
          </cell>
          <cell r="C73">
            <v>1448.74</v>
          </cell>
        </row>
        <row r="74">
          <cell r="A74" t="str">
            <v>20:Q2</v>
          </cell>
          <cell r="B74">
            <v>8.2200000000000006</v>
          </cell>
          <cell r="C74">
            <v>1405.18</v>
          </cell>
        </row>
        <row r="75">
          <cell r="A75" t="str">
            <v>20:Q3</v>
          </cell>
          <cell r="B75">
            <v>7.89</v>
          </cell>
          <cell r="C75">
            <v>1459.5</v>
          </cell>
        </row>
        <row r="76">
          <cell r="A76" t="str">
            <v>20:Q4</v>
          </cell>
          <cell r="B76">
            <v>7.68</v>
          </cell>
          <cell r="C76">
            <v>1437.51</v>
          </cell>
        </row>
        <row r="77">
          <cell r="A77" t="str">
            <v>21:Q1</v>
          </cell>
          <cell r="B77">
            <v>7.38</v>
          </cell>
          <cell r="C77">
            <v>1413.11</v>
          </cell>
        </row>
        <row r="78">
          <cell r="A78" t="str">
            <v>21:Q2</v>
          </cell>
          <cell r="B78">
            <v>7.44</v>
          </cell>
          <cell r="C78">
            <v>1382.36</v>
          </cell>
        </row>
        <row r="79">
          <cell r="A79" t="str">
            <v>21:Q3</v>
          </cell>
          <cell r="B79">
            <v>6.95</v>
          </cell>
          <cell r="C79">
            <v>1427.13</v>
          </cell>
        </row>
        <row r="80">
          <cell r="A80" t="str">
            <v>21:Q4</v>
          </cell>
          <cell r="B80">
            <v>6.28</v>
          </cell>
          <cell r="C80">
            <v>1234.1199999999999</v>
          </cell>
        </row>
        <row r="81">
          <cell r="A81" t="str">
            <v>22:Q1</v>
          </cell>
          <cell r="B81">
            <v>6.04</v>
          </cell>
          <cell r="C81">
            <v>1218.98</v>
          </cell>
        </row>
        <row r="82">
          <cell r="A82" t="str">
            <v>22:Q2</v>
          </cell>
          <cell r="B82">
            <v>6.31</v>
          </cell>
          <cell r="C82">
            <v>1238.95</v>
          </cell>
        </row>
        <row r="83">
          <cell r="A83" t="str">
            <v>22:Q3</v>
          </cell>
          <cell r="B83">
            <v>5.65</v>
          </cell>
          <cell r="C83">
            <v>1266.1400000000001</v>
          </cell>
        </row>
        <row r="84">
          <cell r="A84" t="str">
            <v>22:Q4</v>
          </cell>
          <cell r="B84">
            <v>5.2</v>
          </cell>
          <cell r="C84">
            <v>1236.93</v>
          </cell>
        </row>
        <row r="85">
          <cell r="A85" t="str">
            <v>23:Q1</v>
          </cell>
          <cell r="B85">
            <v>5.24</v>
          </cell>
          <cell r="C85">
            <v>1316.4</v>
          </cell>
        </row>
        <row r="86">
          <cell r="A86" t="str">
            <v>23:Q2</v>
          </cell>
          <cell r="B86">
            <v>4.63</v>
          </cell>
          <cell r="C86">
            <v>1554.9</v>
          </cell>
        </row>
        <row r="87">
          <cell r="A87" t="str">
            <v>23:Q3</v>
          </cell>
          <cell r="B87">
            <v>4.7300000000000004</v>
          </cell>
          <cell r="C87">
            <v>1619.99</v>
          </cell>
        </row>
        <row r="88">
          <cell r="A88" t="str">
            <v>23:Q4</v>
          </cell>
          <cell r="B88">
            <v>4.6500000000000004</v>
          </cell>
          <cell r="C88">
            <v>1591.06</v>
          </cell>
        </row>
        <row r="89">
          <cell r="A89" t="str">
            <v>24:Q1</v>
          </cell>
          <cell r="B89">
            <v>4.8099999999999996</v>
          </cell>
          <cell r="C89">
            <v>1595.97</v>
          </cell>
        </row>
        <row r="90">
          <cell r="A90" t="str">
            <v>24:Q2</v>
          </cell>
          <cell r="B90">
            <v>4.8499999999999996</v>
          </cell>
          <cell r="C90">
            <v>1609.14</v>
          </cell>
        </row>
        <row r="91">
          <cell r="A91" t="str">
            <v>24:Q3</v>
          </cell>
          <cell r="B91">
            <v>4.5999999999999996</v>
          </cell>
          <cell r="C91">
            <v>1705.47</v>
          </cell>
        </row>
        <row r="92">
          <cell r="A92" t="str">
            <v>24:Q4</v>
          </cell>
          <cell r="B92">
            <v>4.62</v>
          </cell>
          <cell r="C92">
            <v>1630.88</v>
          </cell>
        </row>
        <row r="93">
          <cell r="A93" t="str">
            <v>25:Q1</v>
          </cell>
          <cell r="B93">
            <v>4.5599999999999996</v>
          </cell>
          <cell r="C93">
            <v>1663.49</v>
          </cell>
        </row>
        <row r="94">
          <cell r="A94" t="str">
            <v>25:Q2</v>
          </cell>
          <cell r="B94">
            <v>4.74</v>
          </cell>
          <cell r="C94">
            <v>1581.08</v>
          </cell>
        </row>
        <row r="95">
          <cell r="A95" t="str">
            <v>25:Q3</v>
          </cell>
          <cell r="B95">
            <v>4.92</v>
          </cell>
          <cell r="C95">
            <v>1623.39</v>
          </cell>
        </row>
        <row r="96">
          <cell r="A96" t="str">
            <v>25:Q4</v>
          </cell>
          <cell r="B96">
            <v>4.5999999999999996</v>
          </cell>
          <cell r="C96">
            <v>1678.3</v>
          </cell>
        </row>
        <row r="97">
          <cell r="A97" t="str">
            <v>26:Q1</v>
          </cell>
          <cell r="B97">
            <v>4.9800000000000004</v>
          </cell>
          <cell r="C97">
            <v>1539.99</v>
          </cell>
        </row>
      </sheetData>
      <sheetData sheetId="32" refreshError="1"/>
      <sheetData sheetId="33">
        <row r="1">
          <cell r="A1" t="str">
            <v>Total Debt Balance by Age</v>
          </cell>
        </row>
        <row r="2">
          <cell r="A2" t="str">
            <v>Trillions of Dollars</v>
          </cell>
        </row>
        <row r="4">
          <cell r="B4" t="str">
            <v>18-29</v>
          </cell>
          <cell r="C4" t="str">
            <v>30-39</v>
          </cell>
          <cell r="D4" t="str">
            <v>40-49</v>
          </cell>
          <cell r="E4" t="str">
            <v>50-59</v>
          </cell>
          <cell r="F4" t="str">
            <v>60-69</v>
          </cell>
          <cell r="G4" t="str">
            <v>70+</v>
          </cell>
        </row>
        <row r="5">
          <cell r="A5" t="str">
            <v>99:Q1</v>
          </cell>
          <cell r="B5">
            <v>0.35189999999999999</v>
          </cell>
          <cell r="C5">
            <v>1.2210000000000001</v>
          </cell>
          <cell r="D5">
            <v>1.4610000000000001</v>
          </cell>
          <cell r="E5">
            <v>0.97789999999999999</v>
          </cell>
          <cell r="F5">
            <v>0.3755</v>
          </cell>
          <cell r="G5">
            <v>0.1784</v>
          </cell>
        </row>
        <row r="6">
          <cell r="A6" t="str">
            <v>99:Q2</v>
          </cell>
          <cell r="B6">
            <v>0.3735</v>
          </cell>
          <cell r="C6">
            <v>1.264</v>
          </cell>
          <cell r="D6">
            <v>1.494</v>
          </cell>
          <cell r="E6">
            <v>1.004</v>
          </cell>
          <cell r="F6">
            <v>0.37980000000000003</v>
          </cell>
          <cell r="G6">
            <v>0.18090000000000001</v>
          </cell>
        </row>
        <row r="7">
          <cell r="A7" t="str">
            <v>99:Q3</v>
          </cell>
          <cell r="B7">
            <v>0.41510000000000002</v>
          </cell>
          <cell r="C7">
            <v>1.33</v>
          </cell>
          <cell r="D7">
            <v>1.54</v>
          </cell>
          <cell r="E7">
            <v>1.024</v>
          </cell>
          <cell r="F7">
            <v>0.38150000000000001</v>
          </cell>
          <cell r="G7">
            <v>0.17780000000000001</v>
          </cell>
        </row>
        <row r="8">
          <cell r="A8" t="str">
            <v>99:Q4</v>
          </cell>
          <cell r="B8">
            <v>0.43090000000000001</v>
          </cell>
          <cell r="C8">
            <v>1.333</v>
          </cell>
          <cell r="D8">
            <v>1.5249999999999999</v>
          </cell>
          <cell r="E8">
            <v>1</v>
          </cell>
          <cell r="F8">
            <v>0.374</v>
          </cell>
          <cell r="G8">
            <v>0.17630000000000001</v>
          </cell>
        </row>
        <row r="9">
          <cell r="A9" t="str">
            <v>00:Q1</v>
          </cell>
          <cell r="B9">
            <v>0.38790000000000002</v>
          </cell>
          <cell r="C9">
            <v>1.349</v>
          </cell>
          <cell r="D9">
            <v>1.639</v>
          </cell>
          <cell r="E9">
            <v>1.129</v>
          </cell>
          <cell r="F9">
            <v>0.4269</v>
          </cell>
          <cell r="G9">
            <v>0.21190000000000001</v>
          </cell>
        </row>
        <row r="10">
          <cell r="A10" t="str">
            <v>00:Q2</v>
          </cell>
          <cell r="B10">
            <v>0.41920000000000002</v>
          </cell>
          <cell r="C10">
            <v>1.411</v>
          </cell>
          <cell r="D10">
            <v>1.6890000000000001</v>
          </cell>
          <cell r="E10">
            <v>1.161</v>
          </cell>
          <cell r="F10">
            <v>0.4365</v>
          </cell>
          <cell r="G10">
            <v>0.21060000000000001</v>
          </cell>
        </row>
        <row r="11">
          <cell r="A11" t="str">
            <v>00:Q3</v>
          </cell>
          <cell r="B11">
            <v>0.45250000000000001</v>
          </cell>
          <cell r="C11">
            <v>1.446</v>
          </cell>
          <cell r="D11">
            <v>1.7090000000000001</v>
          </cell>
          <cell r="E11">
            <v>1.1579999999999999</v>
          </cell>
          <cell r="F11">
            <v>0.435</v>
          </cell>
          <cell r="G11">
            <v>0.2051</v>
          </cell>
        </row>
        <row r="12">
          <cell r="A12" t="str">
            <v>00:Q4</v>
          </cell>
          <cell r="B12">
            <v>0.49049999999999999</v>
          </cell>
          <cell r="C12">
            <v>1.496</v>
          </cell>
          <cell r="D12">
            <v>1.7430000000000001</v>
          </cell>
          <cell r="E12">
            <v>1.1739999999999999</v>
          </cell>
          <cell r="F12">
            <v>0.43540000000000001</v>
          </cell>
          <cell r="G12">
            <v>0.2092</v>
          </cell>
        </row>
        <row r="13">
          <cell r="A13" t="str">
            <v>01:Q1</v>
          </cell>
          <cell r="B13">
            <v>0.43369999999999997</v>
          </cell>
          <cell r="C13">
            <v>1.498</v>
          </cell>
          <cell r="D13">
            <v>1.845</v>
          </cell>
          <cell r="E13">
            <v>1.296</v>
          </cell>
          <cell r="F13">
            <v>0.4929</v>
          </cell>
          <cell r="G13">
            <v>0.2402</v>
          </cell>
        </row>
        <row r="14">
          <cell r="A14" t="str">
            <v>01:Q2</v>
          </cell>
          <cell r="B14">
            <v>0.43619999999999998</v>
          </cell>
          <cell r="C14">
            <v>1.421</v>
          </cell>
          <cell r="D14">
            <v>1.758</v>
          </cell>
          <cell r="E14">
            <v>1.2430000000000001</v>
          </cell>
          <cell r="F14">
            <v>0.47620000000000001</v>
          </cell>
          <cell r="G14">
            <v>0.23830000000000001</v>
          </cell>
        </row>
        <row r="15">
          <cell r="A15" t="str">
            <v>01:Q3</v>
          </cell>
          <cell r="B15">
            <v>0.49180000000000001</v>
          </cell>
          <cell r="C15">
            <v>1.542</v>
          </cell>
          <cell r="D15">
            <v>1.8740000000000001</v>
          </cell>
          <cell r="E15">
            <v>1.302</v>
          </cell>
          <cell r="F15">
            <v>0.49859999999999999</v>
          </cell>
          <cell r="G15">
            <v>0.2417</v>
          </cell>
        </row>
        <row r="16">
          <cell r="A16" t="str">
            <v>01:Q4</v>
          </cell>
          <cell r="B16">
            <v>0.52569999999999995</v>
          </cell>
          <cell r="C16">
            <v>1.5620000000000001</v>
          </cell>
          <cell r="D16">
            <v>1.881</v>
          </cell>
          <cell r="E16">
            <v>1.3</v>
          </cell>
          <cell r="F16">
            <v>0.4975</v>
          </cell>
          <cell r="G16">
            <v>0.2374</v>
          </cell>
        </row>
        <row r="17">
          <cell r="A17" t="str">
            <v>02:Q1</v>
          </cell>
          <cell r="B17">
            <v>0.47020000000000001</v>
          </cell>
          <cell r="C17">
            <v>1.5860000000000001</v>
          </cell>
          <cell r="D17">
            <v>1.988</v>
          </cell>
          <cell r="E17">
            <v>1.4410000000000001</v>
          </cell>
          <cell r="F17">
            <v>0.57250000000000001</v>
          </cell>
          <cell r="G17">
            <v>0.26790000000000003</v>
          </cell>
        </row>
        <row r="18">
          <cell r="A18" t="str">
            <v>02:Q2</v>
          </cell>
          <cell r="B18">
            <v>0.4929</v>
          </cell>
          <cell r="C18">
            <v>1.6040000000000001</v>
          </cell>
          <cell r="D18">
            <v>1.968</v>
          </cell>
          <cell r="E18">
            <v>1.4379999999999999</v>
          </cell>
          <cell r="F18">
            <v>0.56689999999999996</v>
          </cell>
          <cell r="G18">
            <v>0.2621</v>
          </cell>
        </row>
        <row r="19">
          <cell r="A19" t="str">
            <v>02:Q3</v>
          </cell>
          <cell r="B19">
            <v>0.55030000000000001</v>
          </cell>
          <cell r="C19">
            <v>1.7330000000000001</v>
          </cell>
          <cell r="D19">
            <v>2.0920000000000001</v>
          </cell>
          <cell r="E19">
            <v>1.5</v>
          </cell>
          <cell r="F19">
            <v>0.58489999999999998</v>
          </cell>
          <cell r="G19">
            <v>0.26669999999999999</v>
          </cell>
        </row>
        <row r="20">
          <cell r="A20" t="str">
            <v>02:Q4</v>
          </cell>
          <cell r="B20">
            <v>0.57809999999999995</v>
          </cell>
          <cell r="C20">
            <v>1.738</v>
          </cell>
          <cell r="D20">
            <v>2.0670000000000002</v>
          </cell>
          <cell r="E20">
            <v>1.482</v>
          </cell>
          <cell r="F20">
            <v>0.5766</v>
          </cell>
          <cell r="G20">
            <v>0.26029999999999998</v>
          </cell>
        </row>
        <row r="21">
          <cell r="A21" t="str">
            <v>03:Q1</v>
          </cell>
          <cell r="B21">
            <v>0.56440000000000001</v>
          </cell>
          <cell r="C21">
            <v>1.772</v>
          </cell>
          <cell r="D21">
            <v>2.2250000000000001</v>
          </cell>
          <cell r="E21">
            <v>1.627</v>
          </cell>
          <cell r="F21">
            <v>0.67379999999999995</v>
          </cell>
          <cell r="G21">
            <v>0.29060000000000002</v>
          </cell>
        </row>
        <row r="22">
          <cell r="A22" t="str">
            <v>03:Q2</v>
          </cell>
          <cell r="B22">
            <v>0.58899999999999997</v>
          </cell>
          <cell r="C22">
            <v>1.823</v>
          </cell>
          <cell r="D22">
            <v>2.2789999999999999</v>
          </cell>
          <cell r="E22">
            <v>1.657</v>
          </cell>
          <cell r="F22">
            <v>0.67920000000000003</v>
          </cell>
          <cell r="G22">
            <v>0.28989999999999999</v>
          </cell>
        </row>
        <row r="23">
          <cell r="A23" t="str">
            <v>03:Q3</v>
          </cell>
          <cell r="B23">
            <v>0.64139999999999997</v>
          </cell>
          <cell r="C23">
            <v>1.8680000000000001</v>
          </cell>
          <cell r="D23">
            <v>2.3090000000000002</v>
          </cell>
          <cell r="E23">
            <v>1.69</v>
          </cell>
          <cell r="F23">
            <v>0.68700000000000006</v>
          </cell>
          <cell r="G23">
            <v>0.28699999999999998</v>
          </cell>
        </row>
        <row r="24">
          <cell r="A24" t="str">
            <v>03:Q4</v>
          </cell>
          <cell r="B24">
            <v>0.70889999999999997</v>
          </cell>
          <cell r="C24">
            <v>2.04</v>
          </cell>
          <cell r="D24">
            <v>2.4649999999999999</v>
          </cell>
          <cell r="E24">
            <v>1.7649999999999999</v>
          </cell>
          <cell r="F24">
            <v>0.71150000000000002</v>
          </cell>
          <cell r="G24">
            <v>0.29299999999999998</v>
          </cell>
        </row>
        <row r="25">
          <cell r="A25" t="str">
            <v>04:Q1</v>
          </cell>
          <cell r="B25">
            <v>0.61939999999999995</v>
          </cell>
          <cell r="C25">
            <v>1.9870000000000001</v>
          </cell>
          <cell r="D25">
            <v>2.5539999999999998</v>
          </cell>
          <cell r="E25">
            <v>1.9370000000000001</v>
          </cell>
          <cell r="F25">
            <v>0.79759999999999998</v>
          </cell>
          <cell r="G25">
            <v>0.32929999999999998</v>
          </cell>
        </row>
        <row r="26">
          <cell r="A26" t="str">
            <v>04:Q2</v>
          </cell>
          <cell r="B26">
            <v>0.66839999999999999</v>
          </cell>
          <cell r="C26">
            <v>2.0430000000000001</v>
          </cell>
          <cell r="D26">
            <v>2.5920000000000001</v>
          </cell>
          <cell r="E26">
            <v>1.958</v>
          </cell>
          <cell r="F26">
            <v>0.81069999999999998</v>
          </cell>
          <cell r="G26">
            <v>0.32529999999999998</v>
          </cell>
        </row>
        <row r="27">
          <cell r="A27" t="str">
            <v>04:Q3</v>
          </cell>
          <cell r="B27">
            <v>0.73529999999999995</v>
          </cell>
          <cell r="C27">
            <v>2.1739999999999999</v>
          </cell>
          <cell r="D27">
            <v>2.71</v>
          </cell>
          <cell r="E27">
            <v>2.008</v>
          </cell>
          <cell r="F27">
            <v>0.83460000000000001</v>
          </cell>
          <cell r="G27">
            <v>0.32479999999999998</v>
          </cell>
        </row>
        <row r="28">
          <cell r="A28" t="str">
            <v>04:Q4</v>
          </cell>
          <cell r="B28">
            <v>0.8004</v>
          </cell>
          <cell r="C28">
            <v>2.2650000000000001</v>
          </cell>
          <cell r="D28">
            <v>2.7789999999999999</v>
          </cell>
          <cell r="E28">
            <v>2.0179999999999998</v>
          </cell>
          <cell r="F28">
            <v>0.83020000000000005</v>
          </cell>
          <cell r="G28">
            <v>0.31569999999999998</v>
          </cell>
        </row>
        <row r="29">
          <cell r="A29" t="str">
            <v>05:Q1</v>
          </cell>
          <cell r="B29">
            <v>0.70309999999999995</v>
          </cell>
          <cell r="C29">
            <v>2.1960000000000002</v>
          </cell>
          <cell r="D29">
            <v>2.831</v>
          </cell>
          <cell r="E29">
            <v>2.1840000000000002</v>
          </cell>
          <cell r="F29">
            <v>0.90580000000000005</v>
          </cell>
          <cell r="G29">
            <v>0.36280000000000001</v>
          </cell>
        </row>
        <row r="30">
          <cell r="A30" t="str">
            <v>05:Q2</v>
          </cell>
          <cell r="B30">
            <v>0.75129999999999997</v>
          </cell>
          <cell r="C30">
            <v>2.2909999999999999</v>
          </cell>
          <cell r="D30">
            <v>2.9020000000000001</v>
          </cell>
          <cell r="E30">
            <v>2.23</v>
          </cell>
          <cell r="F30">
            <v>0.92520000000000002</v>
          </cell>
          <cell r="G30">
            <v>0.36249999999999999</v>
          </cell>
        </row>
        <row r="31">
          <cell r="A31" t="str">
            <v>05:Q3</v>
          </cell>
          <cell r="B31">
            <v>0.82499999999999996</v>
          </cell>
          <cell r="C31">
            <v>2.3849999999999998</v>
          </cell>
          <cell r="D31">
            <v>2.9929999999999999</v>
          </cell>
          <cell r="E31">
            <v>2.282</v>
          </cell>
          <cell r="F31">
            <v>0.92769999999999997</v>
          </cell>
          <cell r="G31">
            <v>0.35599999999999998</v>
          </cell>
        </row>
        <row r="32">
          <cell r="A32" t="str">
            <v>05:Q4</v>
          </cell>
          <cell r="B32">
            <v>0.87839999999999996</v>
          </cell>
          <cell r="C32">
            <v>2.4620000000000002</v>
          </cell>
          <cell r="D32">
            <v>3.0489999999999999</v>
          </cell>
          <cell r="E32">
            <v>2.3140000000000001</v>
          </cell>
          <cell r="F32">
            <v>0.92520000000000002</v>
          </cell>
          <cell r="G32">
            <v>0.3493</v>
          </cell>
        </row>
        <row r="33">
          <cell r="A33" t="str">
            <v>06:Q1</v>
          </cell>
          <cell r="B33">
            <v>0.77910000000000001</v>
          </cell>
          <cell r="C33">
            <v>2.472</v>
          </cell>
          <cell r="D33">
            <v>3.1629999999999998</v>
          </cell>
          <cell r="E33">
            <v>2.4710000000000001</v>
          </cell>
          <cell r="F33">
            <v>1.07</v>
          </cell>
          <cell r="G33">
            <v>0.39929999999999999</v>
          </cell>
        </row>
        <row r="34">
          <cell r="A34" t="str">
            <v>06:Q2</v>
          </cell>
          <cell r="B34">
            <v>0.84089999999999998</v>
          </cell>
          <cell r="C34">
            <v>2.5840000000000001</v>
          </cell>
          <cell r="D34">
            <v>3.2629999999999999</v>
          </cell>
          <cell r="E34">
            <v>2.5289999999999999</v>
          </cell>
          <cell r="F34">
            <v>1.103</v>
          </cell>
          <cell r="G34">
            <v>0.40910000000000002</v>
          </cell>
        </row>
        <row r="35">
          <cell r="A35" t="str">
            <v>06:Q3</v>
          </cell>
          <cell r="B35">
            <v>0.91679999999999995</v>
          </cell>
          <cell r="C35">
            <v>2.6960000000000002</v>
          </cell>
          <cell r="D35">
            <v>3.3620000000000001</v>
          </cell>
          <cell r="E35">
            <v>2.5790000000000002</v>
          </cell>
          <cell r="F35">
            <v>1.1200000000000001</v>
          </cell>
          <cell r="G35">
            <v>0.40760000000000002</v>
          </cell>
        </row>
        <row r="36">
          <cell r="A36" t="str">
            <v>06:Q4</v>
          </cell>
          <cell r="B36">
            <v>0.97189999999999999</v>
          </cell>
          <cell r="C36">
            <v>2.7730000000000001</v>
          </cell>
          <cell r="D36">
            <v>3.4060000000000001</v>
          </cell>
          <cell r="E36">
            <v>2.6070000000000002</v>
          </cell>
          <cell r="F36">
            <v>1.1279999999999999</v>
          </cell>
          <cell r="G36">
            <v>0.40429999999999999</v>
          </cell>
        </row>
        <row r="37">
          <cell r="A37" t="str">
            <v>07:Q1</v>
          </cell>
          <cell r="B37">
            <v>0.84889999999999999</v>
          </cell>
          <cell r="C37">
            <v>2.7130000000000001</v>
          </cell>
          <cell r="D37">
            <v>3.4380000000000002</v>
          </cell>
          <cell r="E37">
            <v>2.7280000000000002</v>
          </cell>
          <cell r="F37">
            <v>1.294</v>
          </cell>
          <cell r="G37">
            <v>0.45350000000000001</v>
          </cell>
        </row>
        <row r="38">
          <cell r="A38" t="str">
            <v>07:Q2</v>
          </cell>
          <cell r="B38">
            <v>0.89759999999999995</v>
          </cell>
          <cell r="C38">
            <v>2.8</v>
          </cell>
          <cell r="D38">
            <v>3.544</v>
          </cell>
          <cell r="E38">
            <v>2.8</v>
          </cell>
          <cell r="F38">
            <v>1.327</v>
          </cell>
          <cell r="G38">
            <v>0.45910000000000001</v>
          </cell>
        </row>
        <row r="39">
          <cell r="A39" t="str">
            <v>07:Q3</v>
          </cell>
          <cell r="B39">
            <v>0.9405</v>
          </cell>
          <cell r="C39">
            <v>2.871</v>
          </cell>
          <cell r="D39">
            <v>3.6030000000000002</v>
          </cell>
          <cell r="E39">
            <v>2.83</v>
          </cell>
          <cell r="F39">
            <v>1.3149999999999999</v>
          </cell>
          <cell r="G39">
            <v>0.45879999999999999</v>
          </cell>
        </row>
        <row r="40">
          <cell r="A40" t="str">
            <v>07:Q4</v>
          </cell>
          <cell r="B40">
            <v>1.028</v>
          </cell>
          <cell r="C40">
            <v>2.9580000000000002</v>
          </cell>
          <cell r="D40">
            <v>3.681</v>
          </cell>
          <cell r="E40">
            <v>2.887</v>
          </cell>
          <cell r="F40">
            <v>1.331</v>
          </cell>
          <cell r="G40">
            <v>0.46100000000000002</v>
          </cell>
        </row>
        <row r="41">
          <cell r="A41" t="str">
            <v>08:Q1</v>
          </cell>
          <cell r="B41">
            <v>0.88480000000000003</v>
          </cell>
          <cell r="C41">
            <v>2.86</v>
          </cell>
          <cell r="D41">
            <v>3.72</v>
          </cell>
          <cell r="E41">
            <v>3.0310000000000001</v>
          </cell>
          <cell r="F41">
            <v>1.472</v>
          </cell>
          <cell r="G41">
            <v>0.54379999999999995</v>
          </cell>
        </row>
        <row r="42">
          <cell r="A42" t="str">
            <v>08:Q2</v>
          </cell>
          <cell r="B42">
            <v>0.92049999999999998</v>
          </cell>
          <cell r="C42">
            <v>2.883</v>
          </cell>
          <cell r="D42">
            <v>3.7330000000000001</v>
          </cell>
          <cell r="E42">
            <v>3.0379999999999998</v>
          </cell>
          <cell r="F42">
            <v>1.4730000000000001</v>
          </cell>
          <cell r="G42">
            <v>0.53979999999999995</v>
          </cell>
        </row>
        <row r="43">
          <cell r="A43" t="str">
            <v>08:Q3</v>
          </cell>
          <cell r="B43">
            <v>0.96319999999999995</v>
          </cell>
          <cell r="C43">
            <v>2.911</v>
          </cell>
          <cell r="D43">
            <v>3.75</v>
          </cell>
          <cell r="E43">
            <v>3.032</v>
          </cell>
          <cell r="F43">
            <v>1.468</v>
          </cell>
          <cell r="G43">
            <v>0.53259999999999996</v>
          </cell>
        </row>
        <row r="44">
          <cell r="A44" t="str">
            <v>08:Q4</v>
          </cell>
          <cell r="B44">
            <v>1.0009999999999999</v>
          </cell>
          <cell r="C44">
            <v>2.9220000000000002</v>
          </cell>
          <cell r="D44">
            <v>3.734</v>
          </cell>
          <cell r="E44">
            <v>3.0289999999999999</v>
          </cell>
          <cell r="F44">
            <v>1.456</v>
          </cell>
          <cell r="G44">
            <v>0.52229999999999999</v>
          </cell>
        </row>
        <row r="45">
          <cell r="A45" t="str">
            <v>09:Q1</v>
          </cell>
          <cell r="B45">
            <v>0.82120000000000004</v>
          </cell>
          <cell r="C45">
            <v>2.746</v>
          </cell>
          <cell r="D45">
            <v>3.6659999999999999</v>
          </cell>
          <cell r="E45">
            <v>3.0939999999999999</v>
          </cell>
          <cell r="F45">
            <v>1.6040000000000001</v>
          </cell>
          <cell r="G45">
            <v>0.58579999999999999</v>
          </cell>
        </row>
        <row r="46">
          <cell r="A46" t="str">
            <v>09:Q2</v>
          </cell>
          <cell r="B46">
            <v>0.83860000000000001</v>
          </cell>
          <cell r="C46">
            <v>2.722</v>
          </cell>
          <cell r="D46">
            <v>3.6259999999999999</v>
          </cell>
          <cell r="E46">
            <v>3.0609999999999999</v>
          </cell>
          <cell r="F46">
            <v>1.581</v>
          </cell>
          <cell r="G46">
            <v>0.56999999999999995</v>
          </cell>
        </row>
        <row r="47">
          <cell r="A47" t="str">
            <v>09:Q3</v>
          </cell>
          <cell r="B47">
            <v>0.86460000000000004</v>
          </cell>
          <cell r="C47">
            <v>2.7010000000000001</v>
          </cell>
          <cell r="D47">
            <v>3.5790000000000002</v>
          </cell>
          <cell r="E47">
            <v>3.016</v>
          </cell>
          <cell r="F47">
            <v>1.55</v>
          </cell>
          <cell r="G47">
            <v>0.55269999999999997</v>
          </cell>
        </row>
        <row r="48">
          <cell r="A48" t="str">
            <v>09:Q4</v>
          </cell>
          <cell r="B48">
            <v>0.89570000000000005</v>
          </cell>
          <cell r="C48">
            <v>2.6869999999999998</v>
          </cell>
          <cell r="D48">
            <v>3.528</v>
          </cell>
          <cell r="E48">
            <v>2.968</v>
          </cell>
          <cell r="F48">
            <v>1.5269999999999999</v>
          </cell>
          <cell r="G48">
            <v>0.54459999999999997</v>
          </cell>
        </row>
        <row r="49">
          <cell r="A49" t="str">
            <v>10:Q1</v>
          </cell>
          <cell r="B49">
            <v>0.77029999999999998</v>
          </cell>
          <cell r="C49">
            <v>2.5209999999999999</v>
          </cell>
          <cell r="D49">
            <v>3.5</v>
          </cell>
          <cell r="E49">
            <v>3.0369999999999999</v>
          </cell>
          <cell r="F49">
            <v>1.667</v>
          </cell>
          <cell r="G49">
            <v>0.60870000000000002</v>
          </cell>
        </row>
        <row r="50">
          <cell r="A50" t="str">
            <v>10:Q2</v>
          </cell>
          <cell r="B50">
            <v>0.78969999999999996</v>
          </cell>
          <cell r="C50">
            <v>2.5070000000000001</v>
          </cell>
          <cell r="D50">
            <v>3.4319999999999999</v>
          </cell>
          <cell r="E50">
            <v>2.9790000000000001</v>
          </cell>
          <cell r="F50">
            <v>1.6279999999999999</v>
          </cell>
          <cell r="G50">
            <v>0.59489999999999998</v>
          </cell>
        </row>
        <row r="51">
          <cell r="A51" t="str">
            <v>10:Q3</v>
          </cell>
          <cell r="B51">
            <v>0.82669999999999999</v>
          </cell>
          <cell r="C51">
            <v>2.4990000000000001</v>
          </cell>
          <cell r="D51">
            <v>3.3849999999999998</v>
          </cell>
          <cell r="E51">
            <v>2.94</v>
          </cell>
          <cell r="F51">
            <v>1.607</v>
          </cell>
          <cell r="G51">
            <v>0.57909999999999995</v>
          </cell>
        </row>
        <row r="52">
          <cell r="A52" t="str">
            <v>10:Q4</v>
          </cell>
          <cell r="B52">
            <v>0.85840000000000005</v>
          </cell>
          <cell r="C52">
            <v>2.4809999999999999</v>
          </cell>
          <cell r="D52">
            <v>3.3180000000000001</v>
          </cell>
          <cell r="E52">
            <v>2.895</v>
          </cell>
          <cell r="F52">
            <v>1.5780000000000001</v>
          </cell>
          <cell r="G52">
            <v>0.56989999999999996</v>
          </cell>
        </row>
        <row r="53">
          <cell r="A53" t="str">
            <v>11:Q1</v>
          </cell>
          <cell r="B53">
            <v>0.72170000000000001</v>
          </cell>
          <cell r="C53">
            <v>2.3620000000000001</v>
          </cell>
          <cell r="D53">
            <v>3.32</v>
          </cell>
          <cell r="E53">
            <v>2.9990000000000001</v>
          </cell>
          <cell r="F53">
            <v>1.706</v>
          </cell>
          <cell r="G53">
            <v>0.63319999999999999</v>
          </cell>
        </row>
        <row r="54">
          <cell r="A54" t="str">
            <v>11:Q2</v>
          </cell>
          <cell r="B54">
            <v>0.74319999999999997</v>
          </cell>
          <cell r="C54">
            <v>2.3740000000000001</v>
          </cell>
          <cell r="D54">
            <v>3.3149999999999999</v>
          </cell>
          <cell r="E54">
            <v>2.984</v>
          </cell>
          <cell r="F54">
            <v>1.6839999999999999</v>
          </cell>
          <cell r="G54">
            <v>0.61719999999999997</v>
          </cell>
        </row>
        <row r="55">
          <cell r="A55" t="str">
            <v>11:Q3</v>
          </cell>
          <cell r="B55">
            <v>0.77700000000000002</v>
          </cell>
          <cell r="C55">
            <v>2.3740000000000001</v>
          </cell>
          <cell r="D55">
            <v>3.2869999999999999</v>
          </cell>
          <cell r="E55">
            <v>2.9510000000000001</v>
          </cell>
          <cell r="F55">
            <v>1.651</v>
          </cell>
          <cell r="G55">
            <v>0.61029999999999995</v>
          </cell>
        </row>
        <row r="56">
          <cell r="A56" t="str">
            <v>11:Q4</v>
          </cell>
          <cell r="B56">
            <v>0.80530000000000002</v>
          </cell>
          <cell r="C56">
            <v>2.3769999999999998</v>
          </cell>
          <cell r="D56">
            <v>3.234</v>
          </cell>
          <cell r="E56">
            <v>2.8969999999999998</v>
          </cell>
          <cell r="F56">
            <v>1.6140000000000001</v>
          </cell>
          <cell r="G56">
            <v>0.59609999999999996</v>
          </cell>
        </row>
        <row r="57">
          <cell r="A57" t="str">
            <v>12:Q1</v>
          </cell>
          <cell r="B57">
            <v>0.65549999999999997</v>
          </cell>
          <cell r="C57">
            <v>2.2389999999999999</v>
          </cell>
          <cell r="D57">
            <v>3.1579999999999999</v>
          </cell>
          <cell r="E57">
            <v>2.9180000000000001</v>
          </cell>
          <cell r="F57">
            <v>1.728</v>
          </cell>
          <cell r="G57">
            <v>0.68259999999999998</v>
          </cell>
        </row>
        <row r="58">
          <cell r="A58" t="str">
            <v>12:Q2</v>
          </cell>
          <cell r="B58">
            <v>0.7016</v>
          </cell>
          <cell r="C58">
            <v>2.2570000000000001</v>
          </cell>
          <cell r="D58">
            <v>3.141</v>
          </cell>
          <cell r="E58">
            <v>2.8959999999999999</v>
          </cell>
          <cell r="F58">
            <v>1.704</v>
          </cell>
          <cell r="G58">
            <v>0.66949999999999998</v>
          </cell>
        </row>
        <row r="59">
          <cell r="A59" t="str">
            <v>12:Q3</v>
          </cell>
          <cell r="B59">
            <v>0.74380000000000002</v>
          </cell>
          <cell r="C59">
            <v>2.2589999999999999</v>
          </cell>
          <cell r="D59">
            <v>3.109</v>
          </cell>
          <cell r="E59">
            <v>2.8479999999999999</v>
          </cell>
          <cell r="F59">
            <v>1.69</v>
          </cell>
          <cell r="G59">
            <v>0.6522</v>
          </cell>
        </row>
        <row r="60">
          <cell r="A60" t="str">
            <v>12:Q4</v>
          </cell>
          <cell r="B60">
            <v>0.78010000000000002</v>
          </cell>
          <cell r="C60">
            <v>2.2869999999999999</v>
          </cell>
          <cell r="D60">
            <v>3.1230000000000002</v>
          </cell>
          <cell r="E60">
            <v>2.835</v>
          </cell>
          <cell r="F60">
            <v>1.67</v>
          </cell>
          <cell r="G60">
            <v>0.63890000000000002</v>
          </cell>
        </row>
        <row r="61">
          <cell r="A61" t="str">
            <v>13:Q1</v>
          </cell>
          <cell r="B61">
            <v>0.65939999999999999</v>
          </cell>
          <cell r="C61">
            <v>2.1669999999999998</v>
          </cell>
          <cell r="D61">
            <v>3.036</v>
          </cell>
          <cell r="E61">
            <v>2.8740000000000001</v>
          </cell>
          <cell r="F61">
            <v>1.76</v>
          </cell>
          <cell r="G61">
            <v>0.72319999999999995</v>
          </cell>
        </row>
        <row r="62">
          <cell r="A62" t="str">
            <v>13:Q2</v>
          </cell>
          <cell r="B62">
            <v>0.68879999999999997</v>
          </cell>
          <cell r="C62">
            <v>2.1829999999999998</v>
          </cell>
          <cell r="D62">
            <v>3.0019999999999998</v>
          </cell>
          <cell r="E62">
            <v>2.8340000000000001</v>
          </cell>
          <cell r="F62">
            <v>1.728</v>
          </cell>
          <cell r="G62">
            <v>0.70599999999999996</v>
          </cell>
        </row>
        <row r="63">
          <cell r="A63" t="str">
            <v>13:Q3</v>
          </cell>
          <cell r="B63">
            <v>0.75670000000000004</v>
          </cell>
          <cell r="C63">
            <v>2.2290000000000001</v>
          </cell>
          <cell r="D63">
            <v>3.028</v>
          </cell>
          <cell r="E63">
            <v>2.8439999999999999</v>
          </cell>
          <cell r="F63">
            <v>1.714</v>
          </cell>
          <cell r="G63">
            <v>0.69579999999999997</v>
          </cell>
        </row>
        <row r="64">
          <cell r="A64" t="str">
            <v>13:Q4</v>
          </cell>
          <cell r="B64">
            <v>0.82099999999999995</v>
          </cell>
          <cell r="C64">
            <v>2.3119999999999998</v>
          </cell>
          <cell r="D64">
            <v>3.0920000000000001</v>
          </cell>
          <cell r="E64">
            <v>2.871</v>
          </cell>
          <cell r="F64">
            <v>1.72</v>
          </cell>
          <cell r="G64">
            <v>0.69</v>
          </cell>
        </row>
        <row r="65">
          <cell r="A65" t="str">
            <v>14:Q1</v>
          </cell>
          <cell r="B65">
            <v>0.71419999999999995</v>
          </cell>
          <cell r="C65">
            <v>2.2480000000000002</v>
          </cell>
          <cell r="D65">
            <v>3.0670000000000002</v>
          </cell>
          <cell r="E65">
            <v>2.972</v>
          </cell>
          <cell r="F65">
            <v>1.859</v>
          </cell>
          <cell r="G65">
            <v>0.77529999999999999</v>
          </cell>
        </row>
        <row r="66">
          <cell r="A66" t="str">
            <v>14:Q2</v>
          </cell>
          <cell r="B66">
            <v>0.749</v>
          </cell>
          <cell r="C66">
            <v>2.274</v>
          </cell>
          <cell r="D66">
            <v>3.0670000000000002</v>
          </cell>
          <cell r="E66">
            <v>2.944</v>
          </cell>
          <cell r="F66">
            <v>1.827</v>
          </cell>
          <cell r="G66">
            <v>0.75819999999999999</v>
          </cell>
        </row>
        <row r="67">
          <cell r="A67" t="str">
            <v>14:Q3</v>
          </cell>
          <cell r="B67">
            <v>0.79120000000000001</v>
          </cell>
          <cell r="C67">
            <v>2.3279999999999998</v>
          </cell>
          <cell r="D67">
            <v>3.089</v>
          </cell>
          <cell r="E67">
            <v>2.9329999999999998</v>
          </cell>
          <cell r="F67">
            <v>1.8089999999999999</v>
          </cell>
          <cell r="G67">
            <v>0.74680000000000002</v>
          </cell>
        </row>
        <row r="68">
          <cell r="A68" t="str">
            <v>14:Q4</v>
          </cell>
          <cell r="B68">
            <v>0.84560000000000002</v>
          </cell>
          <cell r="C68">
            <v>2.3719999999999999</v>
          </cell>
          <cell r="D68">
            <v>3.11</v>
          </cell>
          <cell r="E68">
            <v>2.9409999999999998</v>
          </cell>
          <cell r="F68">
            <v>1.8080000000000001</v>
          </cell>
          <cell r="G68">
            <v>0.73760000000000003</v>
          </cell>
        </row>
        <row r="69">
          <cell r="A69" t="str">
            <v>15:Q1</v>
          </cell>
          <cell r="B69">
            <v>0.72689999999999999</v>
          </cell>
          <cell r="C69">
            <v>2.2909999999999999</v>
          </cell>
          <cell r="D69">
            <v>3.0619999999999998</v>
          </cell>
          <cell r="E69">
            <v>2.9849999999999999</v>
          </cell>
          <cell r="F69">
            <v>1.9450000000000001</v>
          </cell>
          <cell r="G69">
            <v>0.82799999999999996</v>
          </cell>
        </row>
        <row r="70">
          <cell r="A70" t="str">
            <v>15:Q2</v>
          </cell>
          <cell r="B70">
            <v>0.76319999999999999</v>
          </cell>
          <cell r="C70">
            <v>2.3050000000000002</v>
          </cell>
          <cell r="D70">
            <v>3.0550000000000002</v>
          </cell>
          <cell r="E70">
            <v>2.9660000000000002</v>
          </cell>
          <cell r="F70">
            <v>1.919</v>
          </cell>
          <cell r="G70">
            <v>0.80759999999999998</v>
          </cell>
        </row>
        <row r="71">
          <cell r="A71" t="str">
            <v>15:Q3</v>
          </cell>
          <cell r="B71">
            <v>0.82520000000000004</v>
          </cell>
          <cell r="C71">
            <v>2.391</v>
          </cell>
          <cell r="D71">
            <v>3.109</v>
          </cell>
          <cell r="E71">
            <v>2.99</v>
          </cell>
          <cell r="F71">
            <v>1.905</v>
          </cell>
          <cell r="G71">
            <v>0.79830000000000001</v>
          </cell>
        </row>
        <row r="72">
          <cell r="A72" t="str">
            <v>15:Q4</v>
          </cell>
          <cell r="B72">
            <v>0.88090000000000002</v>
          </cell>
          <cell r="C72">
            <v>2.452</v>
          </cell>
          <cell r="D72">
            <v>3.1139999999999999</v>
          </cell>
          <cell r="E72">
            <v>2.968</v>
          </cell>
          <cell r="F72">
            <v>1.8839999999999999</v>
          </cell>
          <cell r="G72">
            <v>0.78120000000000001</v>
          </cell>
        </row>
        <row r="73">
          <cell r="A73" t="str">
            <v>16:Q1</v>
          </cell>
          <cell r="B73">
            <v>0.75849999999999995</v>
          </cell>
          <cell r="C73">
            <v>2.3860000000000001</v>
          </cell>
          <cell r="D73">
            <v>3.1230000000000002</v>
          </cell>
          <cell r="E73">
            <v>3.0539999999999998</v>
          </cell>
          <cell r="F73">
            <v>1.994</v>
          </cell>
          <cell r="G73">
            <v>0.90129999999999999</v>
          </cell>
        </row>
        <row r="74">
          <cell r="A74" t="str">
            <v>16:Q2</v>
          </cell>
          <cell r="B74">
            <v>0.79920000000000002</v>
          </cell>
          <cell r="C74">
            <v>2.4220000000000002</v>
          </cell>
          <cell r="D74">
            <v>3.141</v>
          </cell>
          <cell r="E74">
            <v>3.036</v>
          </cell>
          <cell r="F74">
            <v>1.9670000000000001</v>
          </cell>
          <cell r="G74">
            <v>0.88959999999999995</v>
          </cell>
        </row>
        <row r="75">
          <cell r="A75" t="str">
            <v>16:Q3</v>
          </cell>
          <cell r="B75">
            <v>0.86070000000000002</v>
          </cell>
          <cell r="C75">
            <v>2.484</v>
          </cell>
          <cell r="D75">
            <v>3.1509999999999998</v>
          </cell>
          <cell r="E75">
            <v>3.0289999999999999</v>
          </cell>
          <cell r="F75">
            <v>1.9379999999999999</v>
          </cell>
          <cell r="G75">
            <v>0.87749999999999995</v>
          </cell>
        </row>
        <row r="76">
          <cell r="A76" t="str">
            <v>16:Q4</v>
          </cell>
          <cell r="B76">
            <v>0.92820000000000003</v>
          </cell>
          <cell r="C76">
            <v>2.5670000000000002</v>
          </cell>
          <cell r="D76">
            <v>3.2210000000000001</v>
          </cell>
          <cell r="E76">
            <v>3.03</v>
          </cell>
          <cell r="F76">
            <v>1.9510000000000001</v>
          </cell>
          <cell r="G76">
            <v>0.86899999999999999</v>
          </cell>
        </row>
        <row r="77">
          <cell r="A77" t="str">
            <v>17:Q1</v>
          </cell>
          <cell r="B77">
            <v>0.81359999999999999</v>
          </cell>
          <cell r="C77">
            <v>2.5259999999999998</v>
          </cell>
          <cell r="D77">
            <v>3.2170000000000001</v>
          </cell>
          <cell r="E77">
            <v>3.1150000000000002</v>
          </cell>
          <cell r="F77">
            <v>2.0379999999999998</v>
          </cell>
          <cell r="G77">
            <v>1.0089999999999999</v>
          </cell>
        </row>
        <row r="78">
          <cell r="A78" t="str">
            <v>17:Q2</v>
          </cell>
          <cell r="B78">
            <v>0.85909999999999997</v>
          </cell>
          <cell r="C78">
            <v>2.5840000000000001</v>
          </cell>
          <cell r="D78">
            <v>3.2440000000000002</v>
          </cell>
          <cell r="E78">
            <v>3.121</v>
          </cell>
          <cell r="F78">
            <v>2.0230000000000001</v>
          </cell>
          <cell r="G78">
            <v>0.99719999999999998</v>
          </cell>
        </row>
        <row r="79">
          <cell r="A79" t="str">
            <v>17:Q3</v>
          </cell>
          <cell r="B79">
            <v>0.92249999999999999</v>
          </cell>
          <cell r="C79">
            <v>2.657</v>
          </cell>
          <cell r="D79">
            <v>3.278</v>
          </cell>
          <cell r="E79">
            <v>3.1150000000000002</v>
          </cell>
          <cell r="F79">
            <v>1.9990000000000001</v>
          </cell>
          <cell r="G79">
            <v>0.97189999999999999</v>
          </cell>
        </row>
        <row r="80">
          <cell r="A80" t="str">
            <v>17:Q4</v>
          </cell>
          <cell r="B80">
            <v>0.98729999999999996</v>
          </cell>
          <cell r="C80">
            <v>2.7490000000000001</v>
          </cell>
          <cell r="D80">
            <v>3.3140000000000001</v>
          </cell>
          <cell r="E80">
            <v>3.133</v>
          </cell>
          <cell r="F80">
            <v>1.994</v>
          </cell>
          <cell r="G80">
            <v>0.95989999999999998</v>
          </cell>
        </row>
        <row r="81">
          <cell r="A81" t="str">
            <v>18:Q1</v>
          </cell>
          <cell r="B81">
            <v>0.84550000000000003</v>
          </cell>
          <cell r="C81">
            <v>2.6539999999999999</v>
          </cell>
          <cell r="D81">
            <v>3.3460000000000001</v>
          </cell>
          <cell r="E81">
            <v>3.1779999999999999</v>
          </cell>
          <cell r="F81">
            <v>2.0950000000000002</v>
          </cell>
          <cell r="G81">
            <v>1.0880000000000001</v>
          </cell>
        </row>
        <row r="82">
          <cell r="A82" t="str">
            <v>18:Q2</v>
          </cell>
          <cell r="B82">
            <v>0.88680000000000003</v>
          </cell>
          <cell r="C82">
            <v>2.7120000000000002</v>
          </cell>
          <cell r="D82">
            <v>3.3650000000000002</v>
          </cell>
          <cell r="E82">
            <v>3.1709999999999998</v>
          </cell>
          <cell r="F82">
            <v>2.081</v>
          </cell>
          <cell r="G82">
            <v>1.069</v>
          </cell>
        </row>
        <row r="83">
          <cell r="A83" t="str">
            <v>18:Q3</v>
          </cell>
          <cell r="B83">
            <v>0.95889999999999997</v>
          </cell>
          <cell r="C83">
            <v>2.8119999999999998</v>
          </cell>
          <cell r="D83">
            <v>3.411</v>
          </cell>
          <cell r="E83">
            <v>3.1869999999999998</v>
          </cell>
          <cell r="F83">
            <v>2.081</v>
          </cell>
          <cell r="G83">
            <v>1.054</v>
          </cell>
        </row>
        <row r="84">
          <cell r="A84" t="str">
            <v>18:Q4</v>
          </cell>
          <cell r="B84">
            <v>1.0049999999999999</v>
          </cell>
          <cell r="C84">
            <v>2.8580000000000001</v>
          </cell>
          <cell r="D84">
            <v>3.4260000000000002</v>
          </cell>
          <cell r="E84">
            <v>3.1549999999999998</v>
          </cell>
          <cell r="F84">
            <v>2.0489999999999999</v>
          </cell>
          <cell r="G84">
            <v>1.044</v>
          </cell>
        </row>
        <row r="85">
          <cell r="A85" t="str">
            <v>19:Q1</v>
          </cell>
          <cell r="B85">
            <v>0.86419999999999997</v>
          </cell>
          <cell r="C85">
            <v>2.7989999999999999</v>
          </cell>
          <cell r="D85">
            <v>3.4279999999999999</v>
          </cell>
          <cell r="E85">
            <v>3.23</v>
          </cell>
          <cell r="F85">
            <v>2.165</v>
          </cell>
          <cell r="G85">
            <v>1.1739999999999999</v>
          </cell>
        </row>
        <row r="86">
          <cell r="A86" t="str">
            <v>19:Q2</v>
          </cell>
          <cell r="B86">
            <v>0.91600000000000004</v>
          </cell>
          <cell r="C86">
            <v>2.875</v>
          </cell>
          <cell r="D86">
            <v>3.4910000000000001</v>
          </cell>
          <cell r="E86">
            <v>3.2509999999999999</v>
          </cell>
          <cell r="F86">
            <v>2.157</v>
          </cell>
          <cell r="G86">
            <v>1.163</v>
          </cell>
        </row>
        <row r="87">
          <cell r="A87" t="str">
            <v>19:Q3</v>
          </cell>
          <cell r="B87">
            <v>0.96899999999999997</v>
          </cell>
          <cell r="C87">
            <v>2.9249999999999998</v>
          </cell>
          <cell r="D87">
            <v>3.5059999999999998</v>
          </cell>
          <cell r="E87">
            <v>3.2549999999999999</v>
          </cell>
          <cell r="F87">
            <v>2.14</v>
          </cell>
          <cell r="G87">
            <v>1.1459999999999999</v>
          </cell>
        </row>
        <row r="88">
          <cell r="A88" t="str">
            <v>19:Q4</v>
          </cell>
          <cell r="B88">
            <v>1.0429999999999999</v>
          </cell>
          <cell r="C88">
            <v>3.0030000000000001</v>
          </cell>
          <cell r="D88">
            <v>3.5609999999999999</v>
          </cell>
          <cell r="E88">
            <v>3.26</v>
          </cell>
          <cell r="F88">
            <v>2.137</v>
          </cell>
          <cell r="G88">
            <v>1.133</v>
          </cell>
        </row>
        <row r="89">
          <cell r="A89" t="str">
            <v>20:Q1</v>
          </cell>
          <cell r="B89">
            <v>0.89690000000000003</v>
          </cell>
          <cell r="C89">
            <v>2.9340000000000002</v>
          </cell>
          <cell r="D89">
            <v>3.577</v>
          </cell>
          <cell r="E89">
            <v>3.3719999999999999</v>
          </cell>
          <cell r="F89">
            <v>2.2410000000000001</v>
          </cell>
          <cell r="G89">
            <v>1.27</v>
          </cell>
        </row>
        <row r="90">
          <cell r="A90" t="str">
            <v>20:Q2</v>
          </cell>
          <cell r="B90">
            <v>0.93400000000000005</v>
          </cell>
          <cell r="C90">
            <v>2.9569999999999999</v>
          </cell>
          <cell r="D90">
            <v>3.5660000000000003</v>
          </cell>
          <cell r="E90">
            <v>3.327</v>
          </cell>
          <cell r="F90">
            <v>2.1970000000000001</v>
          </cell>
          <cell r="G90">
            <v>1.234</v>
          </cell>
        </row>
        <row r="91">
          <cell r="A91" t="str">
            <v>20:Q3</v>
          </cell>
          <cell r="B91">
            <v>1.0190000000000001</v>
          </cell>
          <cell r="C91">
            <v>3.04</v>
          </cell>
          <cell r="D91">
            <v>3.5920000000000001</v>
          </cell>
          <cell r="E91">
            <v>3.3180000000000001</v>
          </cell>
          <cell r="F91">
            <v>2.1619999999999999</v>
          </cell>
          <cell r="G91">
            <v>1.2090000000000001</v>
          </cell>
        </row>
        <row r="92">
          <cell r="A92" t="str">
            <v>20:Q4</v>
          </cell>
          <cell r="B92">
            <v>1.081</v>
          </cell>
          <cell r="C92">
            <v>3.1489999999999996</v>
          </cell>
          <cell r="D92">
            <v>3.6319999999999997</v>
          </cell>
          <cell r="E92">
            <v>3.3380000000000001</v>
          </cell>
          <cell r="F92">
            <v>2.1480000000000001</v>
          </cell>
          <cell r="G92">
            <v>1.1840000000000002</v>
          </cell>
        </row>
        <row r="93">
          <cell r="A93" t="str">
            <v>21:Q1</v>
          </cell>
          <cell r="B93">
            <v>0.94830000000000003</v>
          </cell>
          <cell r="C93">
            <v>3.0529999999999999</v>
          </cell>
          <cell r="D93">
            <v>3.653</v>
          </cell>
          <cell r="E93">
            <v>3.39</v>
          </cell>
          <cell r="F93">
            <v>2.2789999999999999</v>
          </cell>
          <cell r="G93">
            <v>1.304</v>
          </cell>
        </row>
        <row r="94">
          <cell r="A94" t="str">
            <v>21:Q2</v>
          </cell>
          <cell r="B94">
            <v>1.026</v>
          </cell>
          <cell r="C94">
            <v>3.1840000000000002</v>
          </cell>
          <cell r="D94">
            <v>3.7410000000000001</v>
          </cell>
          <cell r="E94">
            <v>3.4239999999999999</v>
          </cell>
          <cell r="F94">
            <v>2.286</v>
          </cell>
          <cell r="G94">
            <v>1.2849999999999999</v>
          </cell>
        </row>
        <row r="95">
          <cell r="A95" t="str">
            <v>21:Q3</v>
          </cell>
          <cell r="B95">
            <v>1.1120000000000001</v>
          </cell>
          <cell r="C95">
            <v>3.306</v>
          </cell>
          <cell r="D95">
            <v>3.819</v>
          </cell>
          <cell r="E95">
            <v>3.45</v>
          </cell>
          <cell r="F95">
            <v>2.274</v>
          </cell>
          <cell r="G95">
            <v>1.27</v>
          </cell>
        </row>
        <row r="96">
          <cell r="A96" t="str">
            <v>21:Q4</v>
          </cell>
          <cell r="B96">
            <v>1.1910000000000001</v>
          </cell>
          <cell r="C96">
            <v>3.4569999999999999</v>
          </cell>
          <cell r="D96">
            <v>3.9</v>
          </cell>
          <cell r="E96">
            <v>3.4710000000000001</v>
          </cell>
          <cell r="F96">
            <v>2.2770000000000001</v>
          </cell>
          <cell r="G96">
            <v>1.2689999999999999</v>
          </cell>
        </row>
        <row r="97">
          <cell r="A97" t="str">
            <v>22:Q1</v>
          </cell>
          <cell r="B97">
            <v>1.02</v>
          </cell>
          <cell r="C97">
            <v>3.42</v>
          </cell>
          <cell r="D97">
            <v>4</v>
          </cell>
          <cell r="E97">
            <v>3.57</v>
          </cell>
          <cell r="F97">
            <v>2.4</v>
          </cell>
          <cell r="G97">
            <v>1.42</v>
          </cell>
        </row>
        <row r="98">
          <cell r="A98" t="str">
            <v>22:Q2</v>
          </cell>
          <cell r="B98">
            <v>1.0940000000000001</v>
          </cell>
          <cell r="C98">
            <v>3.552</v>
          </cell>
          <cell r="D98">
            <v>4.109</v>
          </cell>
          <cell r="E98">
            <v>3.6070000000000002</v>
          </cell>
          <cell r="F98">
            <v>2.379</v>
          </cell>
          <cell r="G98">
            <v>1.403</v>
          </cell>
        </row>
        <row r="99">
          <cell r="A99" t="str">
            <v>22:Q3</v>
          </cell>
          <cell r="B99">
            <v>1.179</v>
          </cell>
          <cell r="C99">
            <v>3.6869999999999998</v>
          </cell>
          <cell r="D99">
            <v>4.2060000000000004</v>
          </cell>
          <cell r="E99">
            <v>3.6240000000000001</v>
          </cell>
          <cell r="F99">
            <v>2.3820000000000001</v>
          </cell>
          <cell r="G99">
            <v>1.385</v>
          </cell>
        </row>
        <row r="100">
          <cell r="A100" t="str">
            <v>22:Q4</v>
          </cell>
          <cell r="B100">
            <v>1.2669999999999999</v>
          </cell>
          <cell r="C100">
            <v>3.8239999999999998</v>
          </cell>
          <cell r="D100">
            <v>4.3019999999999996</v>
          </cell>
          <cell r="E100">
            <v>3.6949999999999998</v>
          </cell>
          <cell r="F100">
            <v>2.4180000000000001</v>
          </cell>
          <cell r="G100">
            <v>1.38</v>
          </cell>
        </row>
        <row r="101">
          <cell r="A101" t="str">
            <v>23:Q1</v>
          </cell>
          <cell r="B101">
            <v>1.0820000000000001</v>
          </cell>
          <cell r="C101">
            <v>3.6890000000000001</v>
          </cell>
          <cell r="D101">
            <v>4.3849999999999998</v>
          </cell>
          <cell r="E101">
            <v>3.8010000000000002</v>
          </cell>
          <cell r="F101">
            <v>2.5619999999999998</v>
          </cell>
          <cell r="G101">
            <v>1.516</v>
          </cell>
        </row>
        <row r="102">
          <cell r="A102" t="str">
            <v>23:Q2</v>
          </cell>
          <cell r="B102">
            <v>1.1279999999999999</v>
          </cell>
          <cell r="C102">
            <v>3.746</v>
          </cell>
          <cell r="D102">
            <v>4.3840000000000003</v>
          </cell>
          <cell r="E102">
            <v>3.7770000000000001</v>
          </cell>
          <cell r="F102">
            <v>2.5350000000000001</v>
          </cell>
          <cell r="G102">
            <v>1.4810000000000001</v>
          </cell>
        </row>
        <row r="103">
          <cell r="A103" t="str">
            <v>23:Q3</v>
          </cell>
          <cell r="B103">
            <v>1.19</v>
          </cell>
          <cell r="C103">
            <v>3.86</v>
          </cell>
          <cell r="D103">
            <v>4.4400000000000004</v>
          </cell>
          <cell r="E103">
            <v>3.79</v>
          </cell>
          <cell r="F103">
            <v>2.5299999999999998</v>
          </cell>
          <cell r="G103">
            <v>1.47</v>
          </cell>
        </row>
        <row r="104">
          <cell r="A104" t="str">
            <v>23:Q4</v>
          </cell>
          <cell r="B104">
            <v>1.27</v>
          </cell>
          <cell r="C104">
            <v>3.94</v>
          </cell>
          <cell r="D104">
            <v>4.49</v>
          </cell>
          <cell r="E104">
            <v>3.8000000000000003</v>
          </cell>
          <cell r="F104">
            <v>2.5300000000000002</v>
          </cell>
          <cell r="G104">
            <v>1.47</v>
          </cell>
        </row>
        <row r="105">
          <cell r="A105" t="str">
            <v>24:Q1</v>
          </cell>
          <cell r="B105">
            <v>1.0620000000000001</v>
          </cell>
          <cell r="C105">
            <v>3.7930000000000001</v>
          </cell>
          <cell r="D105">
            <v>4.5999999999999996</v>
          </cell>
          <cell r="E105">
            <v>3.9119999999999999</v>
          </cell>
          <cell r="F105">
            <v>2.65</v>
          </cell>
          <cell r="G105">
            <v>1.655</v>
          </cell>
        </row>
        <row r="106">
          <cell r="A106" t="str">
            <v>24:Q2</v>
          </cell>
          <cell r="B106">
            <v>1.1180000000000001</v>
          </cell>
          <cell r="C106">
            <v>3.8679999999999999</v>
          </cell>
          <cell r="D106">
            <v>4.6139999999999999</v>
          </cell>
          <cell r="E106">
            <v>3.9140000000000001</v>
          </cell>
          <cell r="F106">
            <v>2.6379999999999999</v>
          </cell>
          <cell r="G106">
            <v>1.633</v>
          </cell>
        </row>
        <row r="107">
          <cell r="A107" t="str">
            <v>24:Q3</v>
          </cell>
          <cell r="B107">
            <v>1.18</v>
          </cell>
          <cell r="C107">
            <v>3.95</v>
          </cell>
          <cell r="D107">
            <v>4.6559999999999997</v>
          </cell>
          <cell r="E107">
            <v>3.9169999999999998</v>
          </cell>
          <cell r="F107">
            <v>2.62</v>
          </cell>
          <cell r="G107">
            <v>1.5960000000000001</v>
          </cell>
        </row>
        <row r="108">
          <cell r="A108" t="str">
            <v>24:Q4</v>
          </cell>
          <cell r="B108">
            <v>1.2370000000000001</v>
          </cell>
          <cell r="C108">
            <v>4.0199999999999996</v>
          </cell>
          <cell r="D108">
            <v>4.6669999999999998</v>
          </cell>
          <cell r="E108">
            <v>3.9289999999999998</v>
          </cell>
          <cell r="F108">
            <v>2.59</v>
          </cell>
          <cell r="G108">
            <v>1.5669999999999999</v>
          </cell>
        </row>
        <row r="109">
          <cell r="A109" t="str">
            <v>25:Q1</v>
          </cell>
          <cell r="B109">
            <v>1.0469999999999999</v>
          </cell>
          <cell r="C109">
            <v>3.89</v>
          </cell>
          <cell r="D109">
            <v>4.7610000000000001</v>
          </cell>
          <cell r="E109">
            <v>4.016</v>
          </cell>
          <cell r="F109">
            <v>2.7290000000000001</v>
          </cell>
          <cell r="G109">
            <v>1.7330000000000001</v>
          </cell>
        </row>
        <row r="110">
          <cell r="A110" t="str">
            <v>25:Q2</v>
          </cell>
          <cell r="B110">
            <v>1.105</v>
          </cell>
          <cell r="C110">
            <v>3.9620000000000002</v>
          </cell>
          <cell r="D110">
            <v>4.8049999999999997</v>
          </cell>
          <cell r="E110">
            <v>4.0330000000000004</v>
          </cell>
          <cell r="F110">
            <v>2.7250000000000001</v>
          </cell>
          <cell r="G110">
            <v>1.7290000000000001</v>
          </cell>
        </row>
        <row r="111">
          <cell r="A111" t="str">
            <v>25:Q3</v>
          </cell>
          <cell r="B111">
            <v>1.177</v>
          </cell>
          <cell r="C111">
            <v>4.0679999999999996</v>
          </cell>
          <cell r="D111">
            <v>4.8440000000000003</v>
          </cell>
          <cell r="E111">
            <v>4.048</v>
          </cell>
          <cell r="F111">
            <v>2.698</v>
          </cell>
          <cell r="G111">
            <v>1.7050000000000001</v>
          </cell>
        </row>
        <row r="112">
          <cell r="A112" t="str">
            <v>25:Q4</v>
          </cell>
          <cell r="B112">
            <v>1.2430000000000001</v>
          </cell>
          <cell r="C112">
            <v>4.1470000000000002</v>
          </cell>
          <cell r="D112">
            <v>4.8780000000000001</v>
          </cell>
          <cell r="E112">
            <v>4.0640000000000001</v>
          </cell>
          <cell r="F112">
            <v>2.6970000000000001</v>
          </cell>
          <cell r="G112">
            <v>1.6910000000000001</v>
          </cell>
        </row>
        <row r="113">
          <cell r="A113" t="str">
            <v>26:Q1</v>
          </cell>
          <cell r="B113">
            <v>1.052</v>
          </cell>
          <cell r="C113">
            <v>3.9390000000000001</v>
          </cell>
          <cell r="D113">
            <v>4.923</v>
          </cell>
          <cell r="E113">
            <v>4.1829999999999998</v>
          </cell>
          <cell r="F113">
            <v>2.8050000000000002</v>
          </cell>
          <cell r="G113">
            <v>1.855</v>
          </cell>
        </row>
      </sheetData>
      <sheetData sheetId="34" refreshError="1"/>
      <sheetData sheetId="35">
        <row r="3">
          <cell r="B3" t="str">
            <v>18-29</v>
          </cell>
        </row>
      </sheetData>
      <sheetData sheetId="36" refreshError="1"/>
      <sheetData sheetId="37">
        <row r="1">
          <cell r="A1" t="str">
            <v>Auto Loan Originations By Age</v>
          </cell>
        </row>
        <row r="2">
          <cell r="A2" t="str">
            <v>Billions of dollars</v>
          </cell>
        </row>
        <row r="4">
          <cell r="A4" t="str">
            <v>quarter</v>
          </cell>
          <cell r="B4" t="str">
            <v>18-29</v>
          </cell>
          <cell r="C4" t="str">
            <v>30-39</v>
          </cell>
          <cell r="D4" t="str">
            <v>40-49</v>
          </cell>
          <cell r="E4" t="str">
            <v>50-59</v>
          </cell>
          <cell r="F4" t="str">
            <v>60-69</v>
          </cell>
          <cell r="G4" t="str">
            <v>70+</v>
          </cell>
        </row>
        <row r="5">
          <cell r="A5" t="str">
            <v>00:Q1</v>
          </cell>
          <cell r="B5">
            <v>16</v>
          </cell>
          <cell r="C5">
            <v>24.4</v>
          </cell>
          <cell r="D5">
            <v>23.7</v>
          </cell>
          <cell r="E5">
            <v>16.5</v>
          </cell>
          <cell r="F5">
            <v>6.2136719999999999</v>
          </cell>
          <cell r="G5">
            <v>3.8166579999999999</v>
          </cell>
        </row>
        <row r="6">
          <cell r="A6" t="str">
            <v>00:Q2</v>
          </cell>
          <cell r="B6">
            <v>16.399999999999999</v>
          </cell>
          <cell r="C6">
            <v>24.5</v>
          </cell>
          <cell r="D6">
            <v>23</v>
          </cell>
          <cell r="E6">
            <v>15.4</v>
          </cell>
          <cell r="F6">
            <v>6.0219060000000004</v>
          </cell>
          <cell r="G6">
            <v>3.1930679999999998</v>
          </cell>
        </row>
        <row r="7">
          <cell r="A7" t="str">
            <v>00:Q3</v>
          </cell>
          <cell r="B7">
            <v>16.899999999999999</v>
          </cell>
          <cell r="C7">
            <v>24.4</v>
          </cell>
          <cell r="D7">
            <v>20.5</v>
          </cell>
          <cell r="E7">
            <v>14.2</v>
          </cell>
          <cell r="F7">
            <v>5.6395609999999996</v>
          </cell>
          <cell r="G7">
            <v>2.894434</v>
          </cell>
        </row>
        <row r="8">
          <cell r="A8" t="str">
            <v>00:Q4</v>
          </cell>
          <cell r="B8">
            <v>18.3</v>
          </cell>
          <cell r="C8">
            <v>23.5</v>
          </cell>
          <cell r="D8">
            <v>24.4</v>
          </cell>
          <cell r="E8">
            <v>16.2</v>
          </cell>
          <cell r="F8">
            <v>6.058192</v>
          </cell>
          <cell r="G8">
            <v>2.920423</v>
          </cell>
        </row>
        <row r="9">
          <cell r="A9" t="str">
            <v>01:Q1</v>
          </cell>
          <cell r="B9">
            <v>21.1</v>
          </cell>
          <cell r="C9">
            <v>29.4</v>
          </cell>
          <cell r="D9">
            <v>26</v>
          </cell>
          <cell r="E9">
            <v>18.399999999999999</v>
          </cell>
          <cell r="F9">
            <v>6.8456390000000003</v>
          </cell>
          <cell r="G9">
            <v>3.395553</v>
          </cell>
        </row>
        <row r="10">
          <cell r="A10" t="str">
            <v>01:Q2</v>
          </cell>
          <cell r="B10">
            <v>15.4</v>
          </cell>
          <cell r="C10">
            <v>21.8</v>
          </cell>
          <cell r="D10">
            <v>20.7</v>
          </cell>
          <cell r="E10">
            <v>13.6</v>
          </cell>
          <cell r="F10">
            <v>5.4405919999999997</v>
          </cell>
          <cell r="G10">
            <v>2.7211120000000002</v>
          </cell>
        </row>
        <row r="11">
          <cell r="A11" t="str">
            <v>01:Q3</v>
          </cell>
          <cell r="B11">
            <v>18.8</v>
          </cell>
          <cell r="C11">
            <v>26.1</v>
          </cell>
          <cell r="D11">
            <v>26.1</v>
          </cell>
          <cell r="E11">
            <v>17.5</v>
          </cell>
          <cell r="F11">
            <v>6.88584</v>
          </cell>
          <cell r="G11">
            <v>3.5200960000000001</v>
          </cell>
        </row>
        <row r="12">
          <cell r="A12" t="str">
            <v>01:Q4</v>
          </cell>
          <cell r="B12">
            <v>20.3</v>
          </cell>
          <cell r="C12">
            <v>29.2</v>
          </cell>
          <cell r="D12">
            <v>28</v>
          </cell>
          <cell r="E12">
            <v>19.7</v>
          </cell>
          <cell r="F12">
            <v>7.5412090000000003</v>
          </cell>
          <cell r="G12">
            <v>3.4857230000000001</v>
          </cell>
        </row>
        <row r="13">
          <cell r="A13" t="str">
            <v>02:Q1</v>
          </cell>
          <cell r="B13">
            <v>16.600000000000001</v>
          </cell>
          <cell r="C13">
            <v>28.6</v>
          </cell>
          <cell r="D13">
            <v>28.3</v>
          </cell>
          <cell r="E13">
            <v>21.6</v>
          </cell>
          <cell r="F13">
            <v>9.3581789999999998</v>
          </cell>
          <cell r="G13">
            <v>4.634779</v>
          </cell>
        </row>
        <row r="14">
          <cell r="A14" t="str">
            <v>02:Q2</v>
          </cell>
          <cell r="B14">
            <v>16.899999999999999</v>
          </cell>
          <cell r="C14">
            <v>25.5</v>
          </cell>
          <cell r="D14">
            <v>24.7</v>
          </cell>
          <cell r="E14">
            <v>17.399999999999999</v>
          </cell>
          <cell r="F14">
            <v>7.7956669999999999</v>
          </cell>
          <cell r="G14">
            <v>2.9431039999999999</v>
          </cell>
        </row>
        <row r="15">
          <cell r="A15" t="str">
            <v>02:Q3</v>
          </cell>
          <cell r="B15">
            <v>18.3</v>
          </cell>
          <cell r="C15">
            <v>29</v>
          </cell>
          <cell r="D15">
            <v>26.9</v>
          </cell>
          <cell r="E15">
            <v>18.5</v>
          </cell>
          <cell r="F15">
            <v>6.9989610000000004</v>
          </cell>
          <cell r="G15">
            <v>3.6521080000000001</v>
          </cell>
        </row>
        <row r="16">
          <cell r="A16" t="str">
            <v>02:Q4</v>
          </cell>
          <cell r="B16">
            <v>17.899999999999999</v>
          </cell>
          <cell r="C16">
            <v>26.6</v>
          </cell>
          <cell r="D16">
            <v>25.7</v>
          </cell>
          <cell r="E16">
            <v>19.5</v>
          </cell>
          <cell r="F16">
            <v>7.3877160000000002</v>
          </cell>
          <cell r="G16">
            <v>3.1177130000000002</v>
          </cell>
        </row>
        <row r="17">
          <cell r="A17" t="str">
            <v>03:Q1</v>
          </cell>
          <cell r="B17">
            <v>17.3</v>
          </cell>
          <cell r="C17">
            <v>28.3</v>
          </cell>
          <cell r="D17">
            <v>31.7</v>
          </cell>
          <cell r="E17">
            <v>21.8</v>
          </cell>
          <cell r="F17">
            <v>8.8073630000000005</v>
          </cell>
          <cell r="G17">
            <v>3.5642070000000001</v>
          </cell>
        </row>
        <row r="18">
          <cell r="A18" t="str">
            <v>03:Q2</v>
          </cell>
          <cell r="B18">
            <v>15.8</v>
          </cell>
          <cell r="C18">
            <v>25</v>
          </cell>
          <cell r="D18">
            <v>24.1</v>
          </cell>
          <cell r="E18">
            <v>18.2</v>
          </cell>
          <cell r="F18">
            <v>7.6258419999999996</v>
          </cell>
          <cell r="G18">
            <v>3.0987439999999999</v>
          </cell>
        </row>
        <row r="19">
          <cell r="A19" t="str">
            <v>03:Q3</v>
          </cell>
          <cell r="B19">
            <v>23</v>
          </cell>
          <cell r="C19">
            <v>39.6</v>
          </cell>
          <cell r="D19">
            <v>40.9</v>
          </cell>
          <cell r="E19">
            <v>30.1</v>
          </cell>
          <cell r="F19">
            <v>11.9</v>
          </cell>
          <cell r="G19">
            <v>5.2978059999999996</v>
          </cell>
        </row>
        <row r="20">
          <cell r="A20" t="str">
            <v>03:Q4</v>
          </cell>
          <cell r="B20">
            <v>21.2</v>
          </cell>
          <cell r="C20">
            <v>28.9</v>
          </cell>
          <cell r="D20">
            <v>30.2</v>
          </cell>
          <cell r="E20">
            <v>21.7</v>
          </cell>
          <cell r="F20">
            <v>9.1731739999999995</v>
          </cell>
          <cell r="G20">
            <v>4.1989710000000002</v>
          </cell>
        </row>
        <row r="21">
          <cell r="A21" t="str">
            <v>04:Q1</v>
          </cell>
          <cell r="B21">
            <v>16.600000000000001</v>
          </cell>
          <cell r="C21">
            <v>28.3</v>
          </cell>
          <cell r="D21">
            <v>29</v>
          </cell>
          <cell r="E21">
            <v>22.5</v>
          </cell>
          <cell r="F21">
            <v>8.2951530000000009</v>
          </cell>
          <cell r="G21">
            <v>3.5675490000000001</v>
          </cell>
        </row>
        <row r="22">
          <cell r="A22" t="str">
            <v>04:Q2</v>
          </cell>
          <cell r="B22">
            <v>24.2</v>
          </cell>
          <cell r="C22">
            <v>28.2</v>
          </cell>
          <cell r="D22">
            <v>29.1</v>
          </cell>
          <cell r="E22">
            <v>21.2</v>
          </cell>
          <cell r="F22">
            <v>9.0625750000000007</v>
          </cell>
          <cell r="G22">
            <v>3.592835</v>
          </cell>
        </row>
        <row r="23">
          <cell r="A23" t="str">
            <v>04:Q3</v>
          </cell>
          <cell r="B23">
            <v>20.399999999999999</v>
          </cell>
          <cell r="C23">
            <v>28.7</v>
          </cell>
          <cell r="D23">
            <v>29.9</v>
          </cell>
          <cell r="E23">
            <v>21.9</v>
          </cell>
          <cell r="F23">
            <v>8.3516680000000001</v>
          </cell>
          <cell r="G23">
            <v>3.5618430000000001</v>
          </cell>
        </row>
        <row r="24">
          <cell r="A24" t="str">
            <v>04:Q4</v>
          </cell>
          <cell r="B24">
            <v>20.100000000000001</v>
          </cell>
          <cell r="C24">
            <v>27.7</v>
          </cell>
          <cell r="D24">
            <v>27.9</v>
          </cell>
          <cell r="E24">
            <v>19.899999999999999</v>
          </cell>
          <cell r="F24">
            <v>9.6075149999999994</v>
          </cell>
          <cell r="G24">
            <v>3.178687</v>
          </cell>
        </row>
        <row r="25">
          <cell r="A25" t="str">
            <v>05:Q1</v>
          </cell>
          <cell r="B25">
            <v>16.600000000000001</v>
          </cell>
          <cell r="C25">
            <v>25.1</v>
          </cell>
          <cell r="D25">
            <v>25.8</v>
          </cell>
          <cell r="E25">
            <v>18.7</v>
          </cell>
          <cell r="F25">
            <v>8.7824819999999999</v>
          </cell>
          <cell r="G25">
            <v>3.9450880000000002</v>
          </cell>
        </row>
        <row r="26">
          <cell r="A26" t="str">
            <v>05:Q2</v>
          </cell>
          <cell r="B26">
            <v>23.8</v>
          </cell>
          <cell r="C26">
            <v>37.4</v>
          </cell>
          <cell r="D26">
            <v>39.200000000000003</v>
          </cell>
          <cell r="E26">
            <v>29.8</v>
          </cell>
          <cell r="F26">
            <v>13.6</v>
          </cell>
          <cell r="G26">
            <v>5.4799249999999997</v>
          </cell>
        </row>
        <row r="27">
          <cell r="A27" t="str">
            <v>05:Q3</v>
          </cell>
          <cell r="B27">
            <v>25.4</v>
          </cell>
          <cell r="C27">
            <v>43.6</v>
          </cell>
          <cell r="D27">
            <v>40.299999999999997</v>
          </cell>
          <cell r="E27">
            <v>32.4</v>
          </cell>
          <cell r="F27">
            <v>13</v>
          </cell>
          <cell r="G27">
            <v>3.5166810000000002</v>
          </cell>
        </row>
        <row r="28">
          <cell r="A28" t="str">
            <v>05:Q4</v>
          </cell>
          <cell r="B28">
            <v>19</v>
          </cell>
          <cell r="C28">
            <v>29.8</v>
          </cell>
          <cell r="D28">
            <v>28.6</v>
          </cell>
          <cell r="E28">
            <v>19.600000000000001</v>
          </cell>
          <cell r="F28">
            <v>8.6004330000000007</v>
          </cell>
          <cell r="G28">
            <v>3.1553629999999999</v>
          </cell>
        </row>
        <row r="29">
          <cell r="A29" t="str">
            <v>06:Q1</v>
          </cell>
          <cell r="B29">
            <v>17.5</v>
          </cell>
          <cell r="C29">
            <v>24</v>
          </cell>
          <cell r="D29">
            <v>26.6</v>
          </cell>
          <cell r="E29">
            <v>20.100000000000001</v>
          </cell>
          <cell r="F29">
            <v>8.8231619999999999</v>
          </cell>
          <cell r="G29">
            <v>3.3133949999999999</v>
          </cell>
        </row>
        <row r="30">
          <cell r="A30" t="str">
            <v>06:Q2</v>
          </cell>
          <cell r="B30">
            <v>20.3</v>
          </cell>
          <cell r="C30">
            <v>30.4</v>
          </cell>
          <cell r="D30">
            <v>29.2</v>
          </cell>
          <cell r="E30">
            <v>20.8</v>
          </cell>
          <cell r="F30">
            <v>9.1147449999999992</v>
          </cell>
          <cell r="G30">
            <v>3.8152490000000001</v>
          </cell>
        </row>
        <row r="31">
          <cell r="A31" t="str">
            <v>06:Q3</v>
          </cell>
          <cell r="B31">
            <v>24.5</v>
          </cell>
          <cell r="C31">
            <v>30.5</v>
          </cell>
          <cell r="D31">
            <v>32.6</v>
          </cell>
          <cell r="E31">
            <v>23.5</v>
          </cell>
          <cell r="F31">
            <v>11.9</v>
          </cell>
          <cell r="G31">
            <v>4.3807669999999996</v>
          </cell>
        </row>
        <row r="32">
          <cell r="A32" t="str">
            <v>06:Q4</v>
          </cell>
          <cell r="B32">
            <v>20.100000000000001</v>
          </cell>
          <cell r="C32">
            <v>25.4</v>
          </cell>
          <cell r="D32">
            <v>26.7</v>
          </cell>
          <cell r="E32">
            <v>20</v>
          </cell>
          <cell r="F32">
            <v>8.9251120000000004</v>
          </cell>
          <cell r="G32">
            <v>3.4681060000000001</v>
          </cell>
        </row>
        <row r="33">
          <cell r="A33" t="str">
            <v>07:Q1</v>
          </cell>
          <cell r="B33">
            <v>16.8</v>
          </cell>
          <cell r="C33">
            <v>23.7</v>
          </cell>
          <cell r="D33">
            <v>22.6</v>
          </cell>
          <cell r="E33">
            <v>18.2</v>
          </cell>
          <cell r="F33">
            <v>8.2558030000000002</v>
          </cell>
          <cell r="G33">
            <v>3.3672659999999999</v>
          </cell>
        </row>
        <row r="34">
          <cell r="A34" t="str">
            <v>07:Q2</v>
          </cell>
          <cell r="B34">
            <v>20.9</v>
          </cell>
          <cell r="C34">
            <v>26.9</v>
          </cell>
          <cell r="D34">
            <v>26.2</v>
          </cell>
          <cell r="E34">
            <v>20.399999999999999</v>
          </cell>
          <cell r="F34">
            <v>9.8821080000000006</v>
          </cell>
          <cell r="G34">
            <v>3.5537160000000001</v>
          </cell>
        </row>
        <row r="35">
          <cell r="A35" t="str">
            <v>07:Q3</v>
          </cell>
          <cell r="B35">
            <v>21.5</v>
          </cell>
          <cell r="C35">
            <v>25.9</v>
          </cell>
          <cell r="D35">
            <v>29</v>
          </cell>
          <cell r="E35">
            <v>22.7</v>
          </cell>
          <cell r="F35">
            <v>10.199999999999999</v>
          </cell>
          <cell r="G35">
            <v>4.0499580000000002</v>
          </cell>
        </row>
        <row r="36">
          <cell r="A36" t="str">
            <v>07:Q4</v>
          </cell>
          <cell r="B36">
            <v>18.8</v>
          </cell>
          <cell r="C36">
            <v>24.2</v>
          </cell>
          <cell r="D36">
            <v>23.8</v>
          </cell>
          <cell r="E36">
            <v>18.600000000000001</v>
          </cell>
          <cell r="F36">
            <v>9.5851539999999993</v>
          </cell>
          <cell r="G36">
            <v>3.555177</v>
          </cell>
        </row>
        <row r="37">
          <cell r="A37" t="str">
            <v>08:Q1</v>
          </cell>
          <cell r="B37">
            <v>15.9</v>
          </cell>
          <cell r="C37">
            <v>22.2</v>
          </cell>
          <cell r="D37">
            <v>23.3</v>
          </cell>
          <cell r="E37">
            <v>17</v>
          </cell>
          <cell r="F37">
            <v>8.3696959999999994</v>
          </cell>
          <cell r="G37">
            <v>3.1560320000000002</v>
          </cell>
        </row>
        <row r="38">
          <cell r="A38" t="str">
            <v>08:Q2</v>
          </cell>
          <cell r="B38">
            <v>17.8</v>
          </cell>
          <cell r="C38">
            <v>24.2</v>
          </cell>
          <cell r="D38">
            <v>23.1</v>
          </cell>
          <cell r="E38">
            <v>19.100000000000001</v>
          </cell>
          <cell r="F38">
            <v>9.0210179999999998</v>
          </cell>
          <cell r="G38">
            <v>4.0762150000000004</v>
          </cell>
        </row>
        <row r="39">
          <cell r="A39" t="str">
            <v>08:Q3</v>
          </cell>
          <cell r="B39">
            <v>17.600000000000001</v>
          </cell>
          <cell r="C39">
            <v>21.7</v>
          </cell>
          <cell r="D39">
            <v>22.5</v>
          </cell>
          <cell r="E39">
            <v>18.899999999999999</v>
          </cell>
          <cell r="F39">
            <v>9.3036770000000004</v>
          </cell>
          <cell r="G39">
            <v>3.6170939999999998</v>
          </cell>
        </row>
        <row r="40">
          <cell r="A40" t="str">
            <v>08:Q4</v>
          </cell>
          <cell r="B40">
            <v>13.5</v>
          </cell>
          <cell r="C40">
            <v>16.600000000000001</v>
          </cell>
          <cell r="D40">
            <v>18.3</v>
          </cell>
          <cell r="E40">
            <v>14.3</v>
          </cell>
          <cell r="F40">
            <v>7.8483020000000003</v>
          </cell>
          <cell r="G40">
            <v>2.8004560000000001</v>
          </cell>
        </row>
        <row r="41">
          <cell r="A41" t="str">
            <v>09:Q1</v>
          </cell>
          <cell r="B41">
            <v>10.5</v>
          </cell>
          <cell r="C41">
            <v>15.1</v>
          </cell>
          <cell r="D41">
            <v>15.2</v>
          </cell>
          <cell r="E41">
            <v>14</v>
          </cell>
          <cell r="F41">
            <v>7.1691950000000002</v>
          </cell>
          <cell r="G41">
            <v>3.5139239999999998</v>
          </cell>
        </row>
        <row r="42">
          <cell r="A42" t="str">
            <v>09:Q2</v>
          </cell>
          <cell r="B42">
            <v>11</v>
          </cell>
          <cell r="C42">
            <v>15.4</v>
          </cell>
          <cell r="D42">
            <v>16.899999999999999</v>
          </cell>
          <cell r="E42">
            <v>14.3</v>
          </cell>
          <cell r="F42">
            <v>8.5924969999999998</v>
          </cell>
          <cell r="G42">
            <v>3.6026039999999999</v>
          </cell>
        </row>
        <row r="43">
          <cell r="A43" t="str">
            <v>09:Q3</v>
          </cell>
          <cell r="B43">
            <v>12.3</v>
          </cell>
          <cell r="C43">
            <v>16.600000000000001</v>
          </cell>
          <cell r="D43">
            <v>19.8</v>
          </cell>
          <cell r="E43">
            <v>18.100000000000001</v>
          </cell>
          <cell r="F43">
            <v>10.1</v>
          </cell>
          <cell r="G43">
            <v>3.8402850000000002</v>
          </cell>
        </row>
        <row r="44">
          <cell r="A44" t="str">
            <v>09:Q4</v>
          </cell>
          <cell r="B44">
            <v>10.8</v>
          </cell>
          <cell r="C44">
            <v>15</v>
          </cell>
          <cell r="D44">
            <v>15.2</v>
          </cell>
          <cell r="E44">
            <v>14.4</v>
          </cell>
          <cell r="F44">
            <v>8.1273239999999998</v>
          </cell>
          <cell r="G44">
            <v>2.9470040000000002</v>
          </cell>
        </row>
        <row r="45">
          <cell r="A45" t="str">
            <v>10:Q1</v>
          </cell>
          <cell r="B45">
            <v>8.5726040000000001</v>
          </cell>
          <cell r="C45">
            <v>14.8</v>
          </cell>
          <cell r="D45">
            <v>16.5</v>
          </cell>
          <cell r="E45">
            <v>13.5</v>
          </cell>
          <cell r="F45">
            <v>8.2014069999999997</v>
          </cell>
          <cell r="G45">
            <v>3.0786199999999999</v>
          </cell>
        </row>
        <row r="46">
          <cell r="A46" t="str">
            <v>10:Q2</v>
          </cell>
          <cell r="B46">
            <v>13.1</v>
          </cell>
          <cell r="C46">
            <v>19.5</v>
          </cell>
          <cell r="D46">
            <v>19.7</v>
          </cell>
          <cell r="E46">
            <v>18</v>
          </cell>
          <cell r="F46">
            <v>9.6648569999999996</v>
          </cell>
          <cell r="G46">
            <v>3.2111719999999999</v>
          </cell>
        </row>
        <row r="47">
          <cell r="A47" t="str">
            <v>10:Q3</v>
          </cell>
          <cell r="B47">
            <v>13.6</v>
          </cell>
          <cell r="C47">
            <v>19.7</v>
          </cell>
          <cell r="D47">
            <v>21.7</v>
          </cell>
          <cell r="E47">
            <v>18.8</v>
          </cell>
          <cell r="F47">
            <v>11.4</v>
          </cell>
          <cell r="G47">
            <v>3.9287909999999999</v>
          </cell>
        </row>
        <row r="48">
          <cell r="A48" t="str">
            <v>10:Q4</v>
          </cell>
          <cell r="B48">
            <v>12.6</v>
          </cell>
          <cell r="C48">
            <v>17.600000000000001</v>
          </cell>
          <cell r="D48">
            <v>18.5</v>
          </cell>
          <cell r="E48">
            <v>15.6</v>
          </cell>
          <cell r="F48">
            <v>10.3</v>
          </cell>
          <cell r="G48">
            <v>4.0849039999999999</v>
          </cell>
        </row>
        <row r="49">
          <cell r="A49" t="str">
            <v>11:Q1</v>
          </cell>
          <cell r="B49">
            <v>11.2</v>
          </cell>
          <cell r="C49">
            <v>18.2</v>
          </cell>
          <cell r="D49">
            <v>19.2</v>
          </cell>
          <cell r="E49">
            <v>16.5</v>
          </cell>
          <cell r="F49">
            <v>9.4715419999999995</v>
          </cell>
          <cell r="G49">
            <v>3.6316739999999998</v>
          </cell>
        </row>
        <row r="50">
          <cell r="A50" t="str">
            <v>11:Q2</v>
          </cell>
          <cell r="B50">
            <v>13.2</v>
          </cell>
          <cell r="C50">
            <v>20.100000000000001</v>
          </cell>
          <cell r="D50">
            <v>21.8</v>
          </cell>
          <cell r="E50">
            <v>19.2</v>
          </cell>
          <cell r="F50">
            <v>12</v>
          </cell>
          <cell r="G50">
            <v>4.7748309999999998</v>
          </cell>
        </row>
        <row r="51">
          <cell r="A51" t="str">
            <v>11:Q3</v>
          </cell>
          <cell r="B51">
            <v>15.5</v>
          </cell>
          <cell r="C51">
            <v>21.9</v>
          </cell>
          <cell r="D51">
            <v>24</v>
          </cell>
          <cell r="E51">
            <v>20.3</v>
          </cell>
          <cell r="F51">
            <v>11.9</v>
          </cell>
          <cell r="G51">
            <v>4.343483</v>
          </cell>
        </row>
        <row r="52">
          <cell r="A52" t="str">
            <v>11:Q4</v>
          </cell>
          <cell r="B52">
            <v>14.3</v>
          </cell>
          <cell r="C52">
            <v>18.100000000000001</v>
          </cell>
          <cell r="D52">
            <v>23.5</v>
          </cell>
          <cell r="E52">
            <v>16.8</v>
          </cell>
          <cell r="F52">
            <v>10.9</v>
          </cell>
          <cell r="G52">
            <v>4.3071719999999996</v>
          </cell>
        </row>
        <row r="53">
          <cell r="A53" t="str">
            <v>12:Q1</v>
          </cell>
          <cell r="B53">
            <v>12.6</v>
          </cell>
          <cell r="C53">
            <v>19.100000000000001</v>
          </cell>
          <cell r="D53">
            <v>21.6</v>
          </cell>
          <cell r="E53">
            <v>19.8</v>
          </cell>
          <cell r="F53">
            <v>11.3</v>
          </cell>
          <cell r="G53">
            <v>4.4959350000000002</v>
          </cell>
        </row>
        <row r="54">
          <cell r="A54" t="str">
            <v>12:Q2</v>
          </cell>
          <cell r="B54">
            <v>15.5</v>
          </cell>
          <cell r="C54">
            <v>23.6</v>
          </cell>
          <cell r="D54">
            <v>23.6</v>
          </cell>
          <cell r="E54">
            <v>21.7</v>
          </cell>
          <cell r="F54">
            <v>12.3</v>
          </cell>
          <cell r="G54">
            <v>4.5375649999999998</v>
          </cell>
        </row>
        <row r="55">
          <cell r="A55" t="str">
            <v>12:Q3</v>
          </cell>
          <cell r="B55">
            <v>15.7</v>
          </cell>
          <cell r="C55">
            <v>24</v>
          </cell>
          <cell r="D55">
            <v>26</v>
          </cell>
          <cell r="E55">
            <v>22.2</v>
          </cell>
          <cell r="F55">
            <v>12.9</v>
          </cell>
          <cell r="G55">
            <v>5.2682869999999999</v>
          </cell>
        </row>
        <row r="56">
          <cell r="A56" t="str">
            <v>12:Q4</v>
          </cell>
          <cell r="B56">
            <v>18.5</v>
          </cell>
          <cell r="C56">
            <v>23.2</v>
          </cell>
          <cell r="D56">
            <v>26.4</v>
          </cell>
          <cell r="E56">
            <v>23.1</v>
          </cell>
          <cell r="F56">
            <v>13</v>
          </cell>
          <cell r="G56">
            <v>4.9496900000000004</v>
          </cell>
        </row>
        <row r="57">
          <cell r="A57" t="str">
            <v>13:Q1</v>
          </cell>
          <cell r="B57">
            <v>13.9</v>
          </cell>
          <cell r="C57">
            <v>22.6</v>
          </cell>
          <cell r="D57">
            <v>23.4</v>
          </cell>
          <cell r="E57">
            <v>20.3</v>
          </cell>
          <cell r="F57">
            <v>13.1</v>
          </cell>
          <cell r="G57">
            <v>5.5516110000000003</v>
          </cell>
        </row>
        <row r="58">
          <cell r="A58" t="str">
            <v>13:Q2</v>
          </cell>
          <cell r="B58">
            <v>17</v>
          </cell>
          <cell r="C58">
            <v>26.9</v>
          </cell>
          <cell r="D58">
            <v>26.4</v>
          </cell>
          <cell r="E58">
            <v>23.6</v>
          </cell>
          <cell r="F58">
            <v>15.3</v>
          </cell>
          <cell r="G58">
            <v>5.9654939999999996</v>
          </cell>
        </row>
        <row r="59">
          <cell r="A59" t="str">
            <v>13:Q3</v>
          </cell>
          <cell r="B59">
            <v>22</v>
          </cell>
          <cell r="C59">
            <v>26</v>
          </cell>
          <cell r="D59">
            <v>29.9</v>
          </cell>
          <cell r="E59">
            <v>26.8</v>
          </cell>
          <cell r="F59">
            <v>15.7</v>
          </cell>
          <cell r="G59">
            <v>6.2505360000000003</v>
          </cell>
        </row>
        <row r="60">
          <cell r="A60" t="str">
            <v>13:Q4</v>
          </cell>
          <cell r="B60">
            <v>18.7</v>
          </cell>
          <cell r="C60">
            <v>23.9</v>
          </cell>
          <cell r="D60">
            <v>25</v>
          </cell>
          <cell r="E60">
            <v>22.6</v>
          </cell>
          <cell r="F60">
            <v>13.5</v>
          </cell>
          <cell r="G60">
            <v>5.4362659999999998</v>
          </cell>
        </row>
        <row r="61">
          <cell r="A61" t="str">
            <v>14:Q1</v>
          </cell>
          <cell r="B61">
            <v>16.600000000000001</v>
          </cell>
          <cell r="C61">
            <v>22.8</v>
          </cell>
          <cell r="D61">
            <v>26.5</v>
          </cell>
          <cell r="E61">
            <v>23</v>
          </cell>
          <cell r="F61">
            <v>13.7</v>
          </cell>
          <cell r="G61">
            <v>6.0493670000000002</v>
          </cell>
        </row>
        <row r="62">
          <cell r="A62" t="str">
            <v>14:Q2</v>
          </cell>
          <cell r="B62">
            <v>19.399999999999999</v>
          </cell>
          <cell r="C62">
            <v>29.1</v>
          </cell>
          <cell r="D62">
            <v>28.3</v>
          </cell>
          <cell r="E62">
            <v>25.1</v>
          </cell>
          <cell r="F62">
            <v>16</v>
          </cell>
          <cell r="G62">
            <v>7.1211729999999998</v>
          </cell>
        </row>
        <row r="63">
          <cell r="A63" t="str">
            <v>14:Q3</v>
          </cell>
          <cell r="B63">
            <v>21.8</v>
          </cell>
          <cell r="C63">
            <v>30.1</v>
          </cell>
          <cell r="D63">
            <v>29.4</v>
          </cell>
          <cell r="E63">
            <v>27.2</v>
          </cell>
          <cell r="F63">
            <v>17.100000000000001</v>
          </cell>
          <cell r="G63">
            <v>6.5728280000000003</v>
          </cell>
        </row>
        <row r="64">
          <cell r="A64" t="str">
            <v>14:Q4</v>
          </cell>
          <cell r="B64">
            <v>20.2</v>
          </cell>
          <cell r="C64">
            <v>27.4</v>
          </cell>
          <cell r="D64">
            <v>28.2</v>
          </cell>
          <cell r="E64">
            <v>25.3</v>
          </cell>
          <cell r="F64">
            <v>15</v>
          </cell>
          <cell r="G64">
            <v>6.446485</v>
          </cell>
        </row>
        <row r="65">
          <cell r="A65" t="str">
            <v>15:Q1</v>
          </cell>
          <cell r="B65">
            <v>16.899999999999999</v>
          </cell>
          <cell r="C65">
            <v>26</v>
          </cell>
          <cell r="D65">
            <v>28.1</v>
          </cell>
          <cell r="E65">
            <v>25.4</v>
          </cell>
          <cell r="F65">
            <v>13.8</v>
          </cell>
          <cell r="G65">
            <v>6.3408490000000004</v>
          </cell>
        </row>
        <row r="66">
          <cell r="A66" t="str">
            <v>15:Q2</v>
          </cell>
          <cell r="B66">
            <v>24.7</v>
          </cell>
          <cell r="C66">
            <v>33</v>
          </cell>
          <cell r="D66">
            <v>33.4</v>
          </cell>
          <cell r="E66">
            <v>27.6</v>
          </cell>
          <cell r="F66">
            <v>18.399999999999999</v>
          </cell>
          <cell r="G66">
            <v>8.0994969999999995</v>
          </cell>
        </row>
        <row r="67">
          <cell r="A67" t="str">
            <v>15:Q3</v>
          </cell>
          <cell r="B67">
            <v>25.9</v>
          </cell>
          <cell r="C67">
            <v>32</v>
          </cell>
          <cell r="D67">
            <v>35.200000000000003</v>
          </cell>
          <cell r="E67">
            <v>30.1</v>
          </cell>
          <cell r="F67">
            <v>19.8</v>
          </cell>
          <cell r="G67">
            <v>7.9309979999999998</v>
          </cell>
        </row>
        <row r="68">
          <cell r="A68" t="str">
            <v>15:Q4</v>
          </cell>
          <cell r="B68">
            <v>21.8</v>
          </cell>
          <cell r="C68">
            <v>28</v>
          </cell>
          <cell r="D68">
            <v>30.3</v>
          </cell>
          <cell r="E68">
            <v>26.6</v>
          </cell>
          <cell r="F68">
            <v>17</v>
          </cell>
          <cell r="G68">
            <v>7.1013799999999998</v>
          </cell>
        </row>
        <row r="69">
          <cell r="A69" t="str">
            <v>16:Q1</v>
          </cell>
          <cell r="B69">
            <v>19.2</v>
          </cell>
          <cell r="C69">
            <v>28</v>
          </cell>
          <cell r="D69">
            <v>26.6</v>
          </cell>
          <cell r="E69">
            <v>25.5</v>
          </cell>
          <cell r="F69">
            <v>17.600000000000001</v>
          </cell>
          <cell r="G69">
            <v>7.2850260000000002</v>
          </cell>
        </row>
        <row r="70">
          <cell r="A70" t="str">
            <v>16:Q2</v>
          </cell>
          <cell r="B70">
            <v>23.4</v>
          </cell>
          <cell r="C70">
            <v>33</v>
          </cell>
          <cell r="D70">
            <v>33.6</v>
          </cell>
          <cell r="E70">
            <v>30.6</v>
          </cell>
          <cell r="F70">
            <v>18.5</v>
          </cell>
          <cell r="G70">
            <v>8.7310540000000003</v>
          </cell>
        </row>
        <row r="71">
          <cell r="A71" t="str">
            <v>16:Q3</v>
          </cell>
          <cell r="B71">
            <v>24</v>
          </cell>
          <cell r="C71">
            <v>33.1</v>
          </cell>
          <cell r="D71">
            <v>33.9</v>
          </cell>
          <cell r="E71">
            <v>30.3</v>
          </cell>
          <cell r="F71">
            <v>18.899999999999999</v>
          </cell>
          <cell r="G71">
            <v>8.9888820000000003</v>
          </cell>
        </row>
        <row r="72">
          <cell r="A72" t="str">
            <v>16:Q4</v>
          </cell>
          <cell r="B72">
            <v>21.4</v>
          </cell>
          <cell r="C72">
            <v>30.4</v>
          </cell>
          <cell r="D72">
            <v>30.4</v>
          </cell>
          <cell r="E72">
            <v>29.4</v>
          </cell>
          <cell r="F72">
            <v>22.5</v>
          </cell>
          <cell r="G72">
            <v>7.7134260000000001</v>
          </cell>
        </row>
        <row r="73">
          <cell r="A73" t="str">
            <v>17:Q1</v>
          </cell>
          <cell r="B73">
            <v>19.899999999999999</v>
          </cell>
          <cell r="C73">
            <v>28</v>
          </cell>
          <cell r="D73">
            <v>30.1</v>
          </cell>
          <cell r="E73">
            <v>27</v>
          </cell>
          <cell r="F73">
            <v>18.600000000000001</v>
          </cell>
          <cell r="G73">
            <v>8.6495259999999998</v>
          </cell>
        </row>
        <row r="74">
          <cell r="A74" t="str">
            <v>17:Q2</v>
          </cell>
          <cell r="B74">
            <v>23.9</v>
          </cell>
          <cell r="C74">
            <v>31.6</v>
          </cell>
          <cell r="D74">
            <v>33.1</v>
          </cell>
          <cell r="E74">
            <v>28.8</v>
          </cell>
          <cell r="F74">
            <v>19.3</v>
          </cell>
          <cell r="G74">
            <v>9.7314520000000009</v>
          </cell>
        </row>
        <row r="75">
          <cell r="A75" t="str">
            <v>17:Q3</v>
          </cell>
          <cell r="B75">
            <v>24.1</v>
          </cell>
          <cell r="C75">
            <v>33.9</v>
          </cell>
          <cell r="D75">
            <v>34</v>
          </cell>
          <cell r="E75">
            <v>31.3</v>
          </cell>
          <cell r="F75">
            <v>18.5</v>
          </cell>
          <cell r="G75">
            <v>8.6702309999999994</v>
          </cell>
        </row>
        <row r="76">
          <cell r="A76" t="str">
            <v>17:Q4</v>
          </cell>
          <cell r="B76">
            <v>22.2</v>
          </cell>
          <cell r="C76">
            <v>30.7</v>
          </cell>
          <cell r="D76">
            <v>30.6</v>
          </cell>
          <cell r="E76">
            <v>27.6</v>
          </cell>
          <cell r="F76">
            <v>18.5</v>
          </cell>
          <cell r="G76">
            <v>8.7875739999999993</v>
          </cell>
        </row>
        <row r="77">
          <cell r="A77" t="str">
            <v>18:Q1</v>
          </cell>
          <cell r="B77">
            <v>20.100000000000001</v>
          </cell>
          <cell r="C77">
            <v>28.9</v>
          </cell>
          <cell r="D77">
            <v>29</v>
          </cell>
          <cell r="E77">
            <v>26.2</v>
          </cell>
          <cell r="F77">
            <v>16.5</v>
          </cell>
          <cell r="G77">
            <v>9.5749049999999993</v>
          </cell>
        </row>
        <row r="78">
          <cell r="A78" t="str">
            <v>18:Q2</v>
          </cell>
          <cell r="B78">
            <v>22.6</v>
          </cell>
          <cell r="C78">
            <v>33.6</v>
          </cell>
          <cell r="D78">
            <v>34</v>
          </cell>
          <cell r="E78">
            <v>29.7</v>
          </cell>
          <cell r="F78">
            <v>19.5</v>
          </cell>
          <cell r="G78">
            <v>10.5</v>
          </cell>
        </row>
        <row r="79">
          <cell r="A79" t="str">
            <v>18:Q3</v>
          </cell>
          <cell r="B79">
            <v>26</v>
          </cell>
          <cell r="C79">
            <v>35.1</v>
          </cell>
          <cell r="D79">
            <v>35.299999999999997</v>
          </cell>
          <cell r="E79">
            <v>31.5</v>
          </cell>
          <cell r="F79">
            <v>19.100000000000001</v>
          </cell>
          <cell r="G79">
            <v>9.2402569999999997</v>
          </cell>
        </row>
        <row r="80">
          <cell r="A80" t="str">
            <v>18:Q4</v>
          </cell>
          <cell r="B80">
            <v>22.3</v>
          </cell>
          <cell r="C80">
            <v>31.8</v>
          </cell>
          <cell r="D80">
            <v>33.5</v>
          </cell>
          <cell r="E80">
            <v>28.5</v>
          </cell>
          <cell r="F80">
            <v>18.399999999999999</v>
          </cell>
          <cell r="G80">
            <v>9.066846</v>
          </cell>
        </row>
        <row r="81">
          <cell r="A81" t="str">
            <v>19:Q1</v>
          </cell>
          <cell r="B81">
            <v>19.600000000000001</v>
          </cell>
          <cell r="C81">
            <v>29.9</v>
          </cell>
          <cell r="D81">
            <v>30.8</v>
          </cell>
          <cell r="E81">
            <v>29.3</v>
          </cell>
          <cell r="F81">
            <v>18.5</v>
          </cell>
          <cell r="G81">
            <v>9.1195749999999993</v>
          </cell>
        </row>
        <row r="82">
          <cell r="A82" t="str">
            <v>19:Q2</v>
          </cell>
          <cell r="B82">
            <v>25.6</v>
          </cell>
          <cell r="C82">
            <v>33.1</v>
          </cell>
          <cell r="D82">
            <v>36.299999999999997</v>
          </cell>
          <cell r="E82">
            <v>29.6</v>
          </cell>
          <cell r="F82">
            <v>18.700000000000003</v>
          </cell>
          <cell r="G82">
            <v>11</v>
          </cell>
        </row>
        <row r="83">
          <cell r="A83" t="str">
            <v>19:Q3</v>
          </cell>
          <cell r="B83">
            <v>25.6</v>
          </cell>
          <cell r="C83">
            <v>33.9</v>
          </cell>
          <cell r="D83">
            <v>35.200000000000003</v>
          </cell>
          <cell r="E83">
            <v>33.1</v>
          </cell>
          <cell r="F83">
            <v>20.099999999999998</v>
          </cell>
          <cell r="G83">
            <v>10.199999999999999</v>
          </cell>
        </row>
        <row r="84">
          <cell r="A84" t="str">
            <v>19:Q4</v>
          </cell>
          <cell r="B84">
            <v>25.299999999999997</v>
          </cell>
          <cell r="C84">
            <v>33.199999999999996</v>
          </cell>
          <cell r="D84">
            <v>35.699999999999996</v>
          </cell>
          <cell r="E84">
            <v>31</v>
          </cell>
          <cell r="F84">
            <v>20.299999999999997</v>
          </cell>
          <cell r="G84">
            <v>10.199999999999999</v>
          </cell>
        </row>
        <row r="85">
          <cell r="A85" t="str">
            <v>20:Q1</v>
          </cell>
          <cell r="B85">
            <v>20.8</v>
          </cell>
          <cell r="C85">
            <v>30.7</v>
          </cell>
          <cell r="D85">
            <v>34.200000000000003</v>
          </cell>
          <cell r="E85">
            <v>31.2</v>
          </cell>
          <cell r="F85">
            <v>22</v>
          </cell>
          <cell r="G85">
            <v>10.6</v>
          </cell>
        </row>
        <row r="86">
          <cell r="A86" t="str">
            <v>20:Q2</v>
          </cell>
          <cell r="B86">
            <v>23.4</v>
          </cell>
          <cell r="C86">
            <v>32.799999999999997</v>
          </cell>
          <cell r="D86">
            <v>30.2</v>
          </cell>
          <cell r="E86">
            <v>28.5</v>
          </cell>
          <cell r="F86">
            <v>17.3</v>
          </cell>
          <cell r="G86">
            <v>8.3684480000000008</v>
          </cell>
        </row>
        <row r="87">
          <cell r="A87" t="str">
            <v>20:Q3</v>
          </cell>
          <cell r="B87">
            <v>28.8</v>
          </cell>
          <cell r="C87">
            <v>39.9</v>
          </cell>
          <cell r="D87">
            <v>38</v>
          </cell>
          <cell r="E87">
            <v>33.799999999999997</v>
          </cell>
          <cell r="F87">
            <v>22.5</v>
          </cell>
          <cell r="G87">
            <v>11.5</v>
          </cell>
        </row>
        <row r="88">
          <cell r="A88" t="str">
            <v>20:Q4</v>
          </cell>
          <cell r="B88">
            <v>26.4</v>
          </cell>
          <cell r="C88">
            <v>34.5</v>
          </cell>
          <cell r="D88">
            <v>35.9</v>
          </cell>
          <cell r="E88">
            <v>31.8</v>
          </cell>
          <cell r="F88">
            <v>18.899999999999999</v>
          </cell>
          <cell r="G88">
            <v>10.3</v>
          </cell>
        </row>
        <row r="89">
          <cell r="A89" t="str">
            <v>21:Q1</v>
          </cell>
          <cell r="B89">
            <v>23.2</v>
          </cell>
          <cell r="C89">
            <v>31.4</v>
          </cell>
          <cell r="D89">
            <v>33.9</v>
          </cell>
          <cell r="E89">
            <v>30</v>
          </cell>
          <cell r="F89">
            <v>19.899999999999999</v>
          </cell>
          <cell r="G89">
            <v>10.8</v>
          </cell>
        </row>
        <row r="90">
          <cell r="A90" t="str">
            <v>21:Q2</v>
          </cell>
          <cell r="B90">
            <v>33.4</v>
          </cell>
          <cell r="C90">
            <v>46</v>
          </cell>
          <cell r="D90">
            <v>44.3</v>
          </cell>
          <cell r="E90">
            <v>37.799999999999997</v>
          </cell>
          <cell r="F90">
            <v>22.7</v>
          </cell>
          <cell r="G90">
            <v>13.5</v>
          </cell>
        </row>
        <row r="91">
          <cell r="A91" t="str">
            <v>21:Q3</v>
          </cell>
          <cell r="B91">
            <v>33.799999999999997</v>
          </cell>
          <cell r="C91">
            <v>46.7</v>
          </cell>
          <cell r="D91">
            <v>44.8</v>
          </cell>
          <cell r="E91">
            <v>37.6</v>
          </cell>
          <cell r="F91">
            <v>22.7</v>
          </cell>
          <cell r="G91">
            <v>9.6703759999999992</v>
          </cell>
        </row>
        <row r="92">
          <cell r="A92" t="str">
            <v>21:Q4</v>
          </cell>
          <cell r="B92">
            <v>29.9</v>
          </cell>
          <cell r="C92">
            <v>41.4</v>
          </cell>
          <cell r="D92">
            <v>42.3</v>
          </cell>
          <cell r="E92">
            <v>33.200000000000003</v>
          </cell>
          <cell r="F92">
            <v>20.399999999999999</v>
          </cell>
          <cell r="G92">
            <v>9.2827040000000007</v>
          </cell>
        </row>
        <row r="93">
          <cell r="A93" t="str">
            <v>22:Q1</v>
          </cell>
          <cell r="B93">
            <v>26.4</v>
          </cell>
          <cell r="C93">
            <v>41.2</v>
          </cell>
          <cell r="D93">
            <v>40.700000000000003</v>
          </cell>
          <cell r="E93">
            <v>34.299999999999997</v>
          </cell>
          <cell r="F93">
            <v>21</v>
          </cell>
          <cell r="G93">
            <v>10</v>
          </cell>
        </row>
        <row r="94">
          <cell r="A94" t="str">
            <v>22:Q2</v>
          </cell>
          <cell r="B94">
            <v>32.6</v>
          </cell>
          <cell r="C94">
            <v>47.7</v>
          </cell>
          <cell r="D94">
            <v>45</v>
          </cell>
          <cell r="E94">
            <v>37</v>
          </cell>
          <cell r="F94">
            <v>21.8</v>
          </cell>
          <cell r="G94">
            <v>11</v>
          </cell>
        </row>
        <row r="95">
          <cell r="A95" t="str">
            <v>22:Q3</v>
          </cell>
          <cell r="B95">
            <v>29</v>
          </cell>
          <cell r="C95">
            <v>43.4</v>
          </cell>
          <cell r="D95">
            <v>43</v>
          </cell>
          <cell r="E95">
            <v>36.299999999999997</v>
          </cell>
          <cell r="F95">
            <v>20.3</v>
          </cell>
          <cell r="G95">
            <v>10.5</v>
          </cell>
        </row>
        <row r="96">
          <cell r="A96" t="str">
            <v>22:Q4</v>
          </cell>
          <cell r="B96">
            <v>31.3</v>
          </cell>
          <cell r="C96">
            <v>44.8</v>
          </cell>
          <cell r="D96">
            <v>44.6</v>
          </cell>
          <cell r="E96">
            <v>34.799999999999997</v>
          </cell>
          <cell r="F96">
            <v>21.4</v>
          </cell>
          <cell r="G96">
            <v>9.1522489999999994</v>
          </cell>
        </row>
        <row r="97">
          <cell r="A97" t="str">
            <v>23:Q1</v>
          </cell>
          <cell r="B97">
            <v>23.4</v>
          </cell>
          <cell r="C97">
            <v>37</v>
          </cell>
          <cell r="D97">
            <v>36.5</v>
          </cell>
          <cell r="E97">
            <v>32</v>
          </cell>
          <cell r="F97">
            <v>19.5</v>
          </cell>
          <cell r="G97">
            <v>10.199999999999999</v>
          </cell>
        </row>
        <row r="98">
          <cell r="A98" t="str">
            <v>23:Q2</v>
          </cell>
          <cell r="B98">
            <v>27.3</v>
          </cell>
          <cell r="C98">
            <v>40.6</v>
          </cell>
          <cell r="D98">
            <v>40.6</v>
          </cell>
          <cell r="E98">
            <v>34.4</v>
          </cell>
          <cell r="F98">
            <v>21.4</v>
          </cell>
          <cell r="G98">
            <v>11.4</v>
          </cell>
        </row>
        <row r="99">
          <cell r="A99" t="str">
            <v>23:Q3</v>
          </cell>
          <cell r="B99">
            <v>27.8</v>
          </cell>
          <cell r="C99">
            <v>41.4</v>
          </cell>
          <cell r="D99">
            <v>40.5</v>
          </cell>
          <cell r="E99">
            <v>34.1</v>
          </cell>
          <cell r="F99">
            <v>21.3</v>
          </cell>
          <cell r="G99">
            <v>10.9</v>
          </cell>
        </row>
        <row r="100">
          <cell r="A100" t="str">
            <v>23:Q4</v>
          </cell>
          <cell r="B100">
            <v>26.2</v>
          </cell>
          <cell r="C100">
            <v>35.700000000000003</v>
          </cell>
          <cell r="D100">
            <v>38</v>
          </cell>
          <cell r="E100">
            <v>30.8</v>
          </cell>
          <cell r="F100">
            <v>20.400000000000002</v>
          </cell>
          <cell r="G100">
            <v>10.6</v>
          </cell>
        </row>
        <row r="101">
          <cell r="A101" t="str">
            <v>24:Q1</v>
          </cell>
          <cell r="B101">
            <v>21.552814000000001</v>
          </cell>
          <cell r="C101">
            <v>35.198591</v>
          </cell>
          <cell r="D101">
            <v>37.069285999999998</v>
          </cell>
          <cell r="E101">
            <v>32.297877</v>
          </cell>
          <cell r="F101">
            <v>22.613078000000002</v>
          </cell>
          <cell r="G101">
            <v>12.170159</v>
          </cell>
        </row>
        <row r="102">
          <cell r="A102" t="str">
            <v>24:Q2</v>
          </cell>
          <cell r="B102">
            <v>25.339421000000002</v>
          </cell>
          <cell r="C102">
            <v>39.181139000000002</v>
          </cell>
          <cell r="D102">
            <v>39.985726999999997</v>
          </cell>
          <cell r="E102">
            <v>37.045032999999997</v>
          </cell>
          <cell r="F102">
            <v>21.887913999999999</v>
          </cell>
          <cell r="G102">
            <v>11.942307</v>
          </cell>
        </row>
        <row r="103">
          <cell r="A103" t="str">
            <v>24:Q3</v>
          </cell>
          <cell r="B103">
            <v>27.195945999999999</v>
          </cell>
          <cell r="C103">
            <v>40.054569999999998</v>
          </cell>
          <cell r="D103">
            <v>40.848239</v>
          </cell>
          <cell r="E103">
            <v>34.948897000000002</v>
          </cell>
          <cell r="F103">
            <v>23.012784</v>
          </cell>
          <cell r="G103">
            <v>12.674606000000001</v>
          </cell>
        </row>
        <row r="104">
          <cell r="A104" t="str">
            <v>24:Q4</v>
          </cell>
          <cell r="B104">
            <v>25.576879999999999</v>
          </cell>
          <cell r="C104">
            <v>38.683117000000003</v>
          </cell>
          <cell r="D104">
            <v>38.569082999999999</v>
          </cell>
          <cell r="E104">
            <v>34.116132</v>
          </cell>
          <cell r="F104">
            <v>23.449742000000001</v>
          </cell>
          <cell r="G104">
            <v>11.090738</v>
          </cell>
        </row>
        <row r="105">
          <cell r="A105" t="str">
            <v>25:Q1</v>
          </cell>
          <cell r="B105">
            <v>22.967106000000001</v>
          </cell>
          <cell r="C105">
            <v>36.207554000000002</v>
          </cell>
          <cell r="D105">
            <v>36.291524000000003</v>
          </cell>
          <cell r="E105">
            <v>31.064042000000001</v>
          </cell>
          <cell r="F105">
            <v>22.75684</v>
          </cell>
          <cell r="G105">
            <v>12.122601</v>
          </cell>
        </row>
        <row r="106">
          <cell r="A106" t="str">
            <v>25:Q2</v>
          </cell>
          <cell r="B106">
            <v>26.91</v>
          </cell>
          <cell r="C106">
            <v>42.78</v>
          </cell>
          <cell r="D106">
            <v>41.22</v>
          </cell>
          <cell r="E106">
            <v>35.950000000000003</v>
          </cell>
          <cell r="F106">
            <v>25.49</v>
          </cell>
          <cell r="G106">
            <v>15.21</v>
          </cell>
        </row>
        <row r="107">
          <cell r="A107" t="str">
            <v>25:Q3</v>
          </cell>
          <cell r="B107">
            <v>27.56</v>
          </cell>
          <cell r="C107">
            <v>40.11</v>
          </cell>
          <cell r="D107">
            <v>43.49</v>
          </cell>
          <cell r="E107">
            <v>35.25</v>
          </cell>
          <cell r="F107">
            <v>23.82</v>
          </cell>
          <cell r="G107">
            <v>13.41</v>
          </cell>
        </row>
        <row r="108">
          <cell r="A108" t="str">
            <v>25:Q4</v>
          </cell>
          <cell r="B108">
            <v>27.68</v>
          </cell>
          <cell r="C108">
            <v>39.44</v>
          </cell>
          <cell r="D108">
            <v>41.03</v>
          </cell>
          <cell r="E108">
            <v>33.29</v>
          </cell>
          <cell r="F108">
            <v>25.21</v>
          </cell>
          <cell r="G108">
            <v>13.77</v>
          </cell>
        </row>
        <row r="109">
          <cell r="A109" t="str">
            <v>26:Q1</v>
          </cell>
          <cell r="B109">
            <v>25.29</v>
          </cell>
          <cell r="C109">
            <v>38.56</v>
          </cell>
          <cell r="D109">
            <v>39.96</v>
          </cell>
          <cell r="E109">
            <v>38.29</v>
          </cell>
          <cell r="F109">
            <v>25.27</v>
          </cell>
          <cell r="G109">
            <v>14.18</v>
          </cell>
        </row>
      </sheetData>
      <sheetData sheetId="38" refreshError="1"/>
      <sheetData sheetId="39">
        <row r="1">
          <cell r="A1" t="str">
            <v>Total Mortgage Orginations by Age</v>
          </cell>
        </row>
        <row r="2">
          <cell r="A2" t="str">
            <v>Billions of Dollars</v>
          </cell>
        </row>
        <row r="4">
          <cell r="A4" t="str">
            <v>quarter</v>
          </cell>
          <cell r="B4" t="str">
            <v>18-29</v>
          </cell>
          <cell r="C4" t="str">
            <v>30-39</v>
          </cell>
          <cell r="D4" t="str">
            <v>40-49</v>
          </cell>
          <cell r="E4" t="str">
            <v>50-59</v>
          </cell>
          <cell r="F4" t="str">
            <v>60-69</v>
          </cell>
          <cell r="G4" t="str">
            <v>70+</v>
          </cell>
        </row>
        <row r="5">
          <cell r="A5" t="str">
            <v>00:Q1</v>
          </cell>
          <cell r="B5">
            <v>30.04</v>
          </cell>
          <cell r="C5">
            <v>90.64</v>
          </cell>
          <cell r="D5">
            <v>91.27</v>
          </cell>
          <cell r="E5">
            <v>59.57</v>
          </cell>
          <cell r="F5">
            <v>22.73</v>
          </cell>
          <cell r="G5">
            <v>11.48</v>
          </cell>
        </row>
        <row r="6">
          <cell r="A6" t="str">
            <v>00:Q2</v>
          </cell>
          <cell r="B6">
            <v>28.01</v>
          </cell>
          <cell r="C6">
            <v>76.11</v>
          </cell>
          <cell r="D6">
            <v>67.2</v>
          </cell>
          <cell r="E6">
            <v>46.07</v>
          </cell>
          <cell r="F6">
            <v>12.5</v>
          </cell>
          <cell r="G6">
            <v>7.38</v>
          </cell>
        </row>
        <row r="7">
          <cell r="A7" t="str">
            <v>00:Q3</v>
          </cell>
          <cell r="B7">
            <v>35.61</v>
          </cell>
          <cell r="C7">
            <v>95.79</v>
          </cell>
          <cell r="D7">
            <v>83.21</v>
          </cell>
          <cell r="E7">
            <v>50.19</v>
          </cell>
          <cell r="F7">
            <v>20.45</v>
          </cell>
          <cell r="G7">
            <v>9.218</v>
          </cell>
        </row>
        <row r="8">
          <cell r="A8" t="str">
            <v>00:Q4</v>
          </cell>
          <cell r="B8">
            <v>36.409999999999997</v>
          </cell>
          <cell r="C8">
            <v>96.24</v>
          </cell>
          <cell r="D8">
            <v>92.77</v>
          </cell>
          <cell r="E8">
            <v>48.08</v>
          </cell>
          <cell r="F8">
            <v>15.66</v>
          </cell>
          <cell r="G8">
            <v>9.49</v>
          </cell>
        </row>
        <row r="9">
          <cell r="A9" t="str">
            <v>01:Q1</v>
          </cell>
          <cell r="B9">
            <v>34.479999999999997</v>
          </cell>
          <cell r="C9">
            <v>103.7</v>
          </cell>
          <cell r="D9">
            <v>101.8</v>
          </cell>
          <cell r="E9">
            <v>64.16</v>
          </cell>
          <cell r="F9">
            <v>21.08</v>
          </cell>
          <cell r="G9">
            <v>11.48</v>
          </cell>
        </row>
        <row r="10">
          <cell r="A10" t="str">
            <v>01:Q2</v>
          </cell>
          <cell r="B10">
            <v>30.93</v>
          </cell>
          <cell r="C10">
            <v>100.3</v>
          </cell>
          <cell r="D10">
            <v>98.05</v>
          </cell>
          <cell r="E10">
            <v>63.82</v>
          </cell>
          <cell r="F10">
            <v>21.59</v>
          </cell>
          <cell r="G10">
            <v>11.8</v>
          </cell>
        </row>
        <row r="11">
          <cell r="A11" t="str">
            <v>01:Q3</v>
          </cell>
          <cell r="B11">
            <v>48.56</v>
          </cell>
          <cell r="C11">
            <v>155</v>
          </cell>
          <cell r="D11">
            <v>155.69999999999999</v>
          </cell>
          <cell r="E11">
            <v>91.32</v>
          </cell>
          <cell r="F11">
            <v>32.36</v>
          </cell>
          <cell r="G11">
            <v>10.62</v>
          </cell>
        </row>
        <row r="12">
          <cell r="A12" t="str">
            <v>01:Q4</v>
          </cell>
          <cell r="B12">
            <v>46.31</v>
          </cell>
          <cell r="C12">
            <v>149.9</v>
          </cell>
          <cell r="D12">
            <v>144.30000000000001</v>
          </cell>
          <cell r="E12">
            <v>92.12</v>
          </cell>
          <cell r="F12">
            <v>28.21</v>
          </cell>
          <cell r="G12">
            <v>12.87</v>
          </cell>
        </row>
        <row r="13">
          <cell r="A13" t="str">
            <v>02:Q1</v>
          </cell>
          <cell r="B13">
            <v>51.59</v>
          </cell>
          <cell r="C13">
            <v>204.3</v>
          </cell>
          <cell r="D13">
            <v>209.1</v>
          </cell>
          <cell r="E13">
            <v>135.1</v>
          </cell>
          <cell r="F13">
            <v>41.36</v>
          </cell>
          <cell r="G13">
            <v>18.3</v>
          </cell>
        </row>
        <row r="14">
          <cell r="A14" t="str">
            <v>02:Q2</v>
          </cell>
          <cell r="B14">
            <v>45.18</v>
          </cell>
          <cell r="C14">
            <v>165.9</v>
          </cell>
          <cell r="D14">
            <v>160</v>
          </cell>
          <cell r="E14">
            <v>105.2</v>
          </cell>
          <cell r="F14">
            <v>35.270000000000003</v>
          </cell>
          <cell r="G14">
            <v>14.92</v>
          </cell>
        </row>
        <row r="15">
          <cell r="A15" t="str">
            <v>02:Q3</v>
          </cell>
          <cell r="B15">
            <v>51.38</v>
          </cell>
          <cell r="C15">
            <v>185.4</v>
          </cell>
          <cell r="D15">
            <v>192.1</v>
          </cell>
          <cell r="E15">
            <v>112.4</v>
          </cell>
          <cell r="F15">
            <v>35.229999999999997</v>
          </cell>
          <cell r="G15">
            <v>16.52</v>
          </cell>
        </row>
        <row r="16">
          <cell r="A16" t="str">
            <v>02:Q4</v>
          </cell>
          <cell r="B16">
            <v>56.24</v>
          </cell>
          <cell r="C16">
            <v>211.9</v>
          </cell>
          <cell r="D16">
            <v>215.3</v>
          </cell>
          <cell r="E16">
            <v>122.5</v>
          </cell>
          <cell r="F16">
            <v>46.75</v>
          </cell>
          <cell r="G16">
            <v>16.77</v>
          </cell>
        </row>
        <row r="17">
          <cell r="A17" t="str">
            <v>03:Q1</v>
          </cell>
          <cell r="B17">
            <v>60.22</v>
          </cell>
          <cell r="C17">
            <v>271.89999999999998</v>
          </cell>
          <cell r="D17">
            <v>310.89999999999998</v>
          </cell>
          <cell r="E17">
            <v>208.4</v>
          </cell>
          <cell r="F17">
            <v>72.11</v>
          </cell>
          <cell r="G17">
            <v>19.670000000000002</v>
          </cell>
        </row>
        <row r="18">
          <cell r="A18" t="str">
            <v>03:Q2</v>
          </cell>
          <cell r="B18">
            <v>61.78</v>
          </cell>
          <cell r="C18">
            <v>278</v>
          </cell>
          <cell r="D18">
            <v>332.4</v>
          </cell>
          <cell r="E18">
            <v>220.6</v>
          </cell>
          <cell r="F18">
            <v>75.19</v>
          </cell>
          <cell r="G18">
            <v>24.89</v>
          </cell>
        </row>
        <row r="19">
          <cell r="A19" t="str">
            <v>03:Q3</v>
          </cell>
          <cell r="B19">
            <v>79.7</v>
          </cell>
          <cell r="C19">
            <v>295.60000000000002</v>
          </cell>
          <cell r="D19">
            <v>334</v>
          </cell>
          <cell r="E19">
            <v>217.6</v>
          </cell>
          <cell r="F19">
            <v>81.94</v>
          </cell>
          <cell r="G19">
            <v>26.67</v>
          </cell>
        </row>
        <row r="20">
          <cell r="A20" t="str">
            <v>03:Q4</v>
          </cell>
          <cell r="B20">
            <v>79.11</v>
          </cell>
          <cell r="C20">
            <v>309</v>
          </cell>
          <cell r="D20">
            <v>322.89999999999998</v>
          </cell>
          <cell r="E20">
            <v>194.2</v>
          </cell>
          <cell r="F20">
            <v>70.77</v>
          </cell>
          <cell r="G20">
            <v>23.96</v>
          </cell>
        </row>
        <row r="21">
          <cell r="A21" t="str">
            <v>04:Q1</v>
          </cell>
          <cell r="B21">
            <v>49.16</v>
          </cell>
          <cell r="C21">
            <v>176.6</v>
          </cell>
          <cell r="D21">
            <v>204.7</v>
          </cell>
          <cell r="E21">
            <v>136.80000000000001</v>
          </cell>
          <cell r="F21">
            <v>48.63</v>
          </cell>
          <cell r="G21">
            <v>17.670000000000002</v>
          </cell>
        </row>
        <row r="22">
          <cell r="A22" t="str">
            <v>04:Q2</v>
          </cell>
          <cell r="B22">
            <v>60.34</v>
          </cell>
          <cell r="C22">
            <v>201.7</v>
          </cell>
          <cell r="D22">
            <v>215.6</v>
          </cell>
          <cell r="E22">
            <v>138.30000000000001</v>
          </cell>
          <cell r="F22">
            <v>55.86</v>
          </cell>
          <cell r="G22">
            <v>16.940000000000001</v>
          </cell>
        </row>
        <row r="23">
          <cell r="A23" t="str">
            <v>04:Q3</v>
          </cell>
          <cell r="B23">
            <v>77.03</v>
          </cell>
          <cell r="C23">
            <v>230.9</v>
          </cell>
          <cell r="D23">
            <v>238.4</v>
          </cell>
          <cell r="E23">
            <v>149.80000000000001</v>
          </cell>
          <cell r="F23">
            <v>58.27</v>
          </cell>
          <cell r="G23">
            <v>18.87</v>
          </cell>
        </row>
        <row r="24">
          <cell r="A24" t="str">
            <v>04:Q4</v>
          </cell>
          <cell r="B24">
            <v>78.290000000000006</v>
          </cell>
          <cell r="C24">
            <v>194.8</v>
          </cell>
          <cell r="D24">
            <v>201.3</v>
          </cell>
          <cell r="E24">
            <v>121.4</v>
          </cell>
          <cell r="F24">
            <v>45.93</v>
          </cell>
          <cell r="G24">
            <v>15.69</v>
          </cell>
        </row>
        <row r="25">
          <cell r="A25" t="str">
            <v>05:Q1</v>
          </cell>
          <cell r="B25">
            <v>56.68</v>
          </cell>
          <cell r="C25">
            <v>182.4</v>
          </cell>
          <cell r="D25">
            <v>203.7</v>
          </cell>
          <cell r="E25">
            <v>137.80000000000001</v>
          </cell>
          <cell r="F25">
            <v>50.51</v>
          </cell>
          <cell r="G25">
            <v>19.53</v>
          </cell>
        </row>
        <row r="26">
          <cell r="A26" t="str">
            <v>05:Q2</v>
          </cell>
          <cell r="B26">
            <v>60.31</v>
          </cell>
          <cell r="C26">
            <v>187</v>
          </cell>
          <cell r="D26">
            <v>186</v>
          </cell>
          <cell r="E26">
            <v>130.80000000000001</v>
          </cell>
          <cell r="F26">
            <v>45.29</v>
          </cell>
          <cell r="G26">
            <v>16.02</v>
          </cell>
        </row>
        <row r="27">
          <cell r="A27" t="str">
            <v>05:Q3</v>
          </cell>
          <cell r="B27">
            <v>79.540000000000006</v>
          </cell>
          <cell r="C27">
            <v>221.4</v>
          </cell>
          <cell r="D27">
            <v>227</v>
          </cell>
          <cell r="E27">
            <v>153.5</v>
          </cell>
          <cell r="F27">
            <v>53.78</v>
          </cell>
          <cell r="G27">
            <v>16.670000000000002</v>
          </cell>
        </row>
        <row r="28">
          <cell r="A28" t="str">
            <v>05:Q4</v>
          </cell>
          <cell r="B28">
            <v>79.86</v>
          </cell>
          <cell r="C28">
            <v>230.1</v>
          </cell>
          <cell r="D28">
            <v>251.8</v>
          </cell>
          <cell r="E28">
            <v>159.9</v>
          </cell>
          <cell r="F28">
            <v>56.36</v>
          </cell>
          <cell r="G28">
            <v>14.43</v>
          </cell>
        </row>
        <row r="29">
          <cell r="A29" t="str">
            <v>06:Q1</v>
          </cell>
          <cell r="B29">
            <v>59.89</v>
          </cell>
          <cell r="C29">
            <v>182.8</v>
          </cell>
          <cell r="D29">
            <v>218</v>
          </cell>
          <cell r="E29">
            <v>132.30000000000001</v>
          </cell>
          <cell r="F29">
            <v>55.84</v>
          </cell>
          <cell r="G29">
            <v>17.59</v>
          </cell>
        </row>
        <row r="30">
          <cell r="A30" t="str">
            <v>06:Q2</v>
          </cell>
          <cell r="B30">
            <v>67.64</v>
          </cell>
          <cell r="C30">
            <v>192.1</v>
          </cell>
          <cell r="D30">
            <v>212</v>
          </cell>
          <cell r="E30">
            <v>151.9</v>
          </cell>
          <cell r="F30">
            <v>74.95</v>
          </cell>
          <cell r="G30">
            <v>22.35</v>
          </cell>
        </row>
        <row r="31">
          <cell r="A31" t="str">
            <v>06:Q3</v>
          </cell>
          <cell r="B31">
            <v>72.36</v>
          </cell>
          <cell r="C31">
            <v>207.5</v>
          </cell>
          <cell r="D31">
            <v>213.1</v>
          </cell>
          <cell r="E31">
            <v>136.9</v>
          </cell>
          <cell r="F31">
            <v>60.83</v>
          </cell>
          <cell r="G31">
            <v>17.309999999999999</v>
          </cell>
        </row>
        <row r="32">
          <cell r="A32" t="str">
            <v>06:Q4</v>
          </cell>
          <cell r="B32">
            <v>65.47</v>
          </cell>
          <cell r="C32">
            <v>188</v>
          </cell>
          <cell r="D32">
            <v>186.9</v>
          </cell>
          <cell r="E32">
            <v>127.8</v>
          </cell>
          <cell r="F32">
            <v>51.49</v>
          </cell>
          <cell r="G32">
            <v>17.22</v>
          </cell>
        </row>
        <row r="33">
          <cell r="A33" t="str">
            <v>07:Q1</v>
          </cell>
          <cell r="B33">
            <v>66.34</v>
          </cell>
          <cell r="C33">
            <v>207.2</v>
          </cell>
          <cell r="D33">
            <v>219.9</v>
          </cell>
          <cell r="E33">
            <v>161.5</v>
          </cell>
          <cell r="F33">
            <v>70.7</v>
          </cell>
          <cell r="G33">
            <v>22.09</v>
          </cell>
        </row>
        <row r="34">
          <cell r="A34" t="str">
            <v>07:Q2</v>
          </cell>
          <cell r="B34">
            <v>55.48</v>
          </cell>
          <cell r="C34">
            <v>170.9</v>
          </cell>
          <cell r="D34">
            <v>186.8</v>
          </cell>
          <cell r="E34">
            <v>150.30000000000001</v>
          </cell>
          <cell r="F34">
            <v>58.88</v>
          </cell>
          <cell r="G34">
            <v>19.14</v>
          </cell>
        </row>
        <row r="35">
          <cell r="A35" t="str">
            <v>07:Q3</v>
          </cell>
          <cell r="B35">
            <v>73.38</v>
          </cell>
          <cell r="C35">
            <v>196.6</v>
          </cell>
          <cell r="D35">
            <v>201.8</v>
          </cell>
          <cell r="E35">
            <v>146.80000000000001</v>
          </cell>
          <cell r="F35">
            <v>57.46</v>
          </cell>
          <cell r="G35">
            <v>23.21</v>
          </cell>
        </row>
        <row r="36">
          <cell r="A36" t="str">
            <v>07:Q4</v>
          </cell>
          <cell r="B36">
            <v>52.12</v>
          </cell>
          <cell r="C36">
            <v>131.9</v>
          </cell>
          <cell r="D36">
            <v>142.1</v>
          </cell>
          <cell r="E36">
            <v>119.9</v>
          </cell>
          <cell r="F36">
            <v>52.26</v>
          </cell>
          <cell r="G36">
            <v>14.66</v>
          </cell>
        </row>
        <row r="37">
          <cell r="A37" t="str">
            <v>08:Q1</v>
          </cell>
          <cell r="B37">
            <v>42.69</v>
          </cell>
          <cell r="C37">
            <v>115.6</v>
          </cell>
          <cell r="D37">
            <v>129.6</v>
          </cell>
          <cell r="E37">
            <v>100.7</v>
          </cell>
          <cell r="F37">
            <v>45.2</v>
          </cell>
          <cell r="G37">
            <v>16.75</v>
          </cell>
        </row>
        <row r="38">
          <cell r="A38" t="str">
            <v>08:Q2</v>
          </cell>
          <cell r="B38">
            <v>48.76</v>
          </cell>
          <cell r="C38">
            <v>149.9</v>
          </cell>
          <cell r="D38">
            <v>159</v>
          </cell>
          <cell r="E38">
            <v>122.3</v>
          </cell>
          <cell r="F38">
            <v>60.45</v>
          </cell>
          <cell r="G38">
            <v>16.73</v>
          </cell>
        </row>
        <row r="39">
          <cell r="A39" t="str">
            <v>08:Q3</v>
          </cell>
          <cell r="B39">
            <v>39.32</v>
          </cell>
          <cell r="C39">
            <v>110.1</v>
          </cell>
          <cell r="D39">
            <v>109.6</v>
          </cell>
          <cell r="E39">
            <v>75.650000000000006</v>
          </cell>
          <cell r="F39">
            <v>36.799999999999997</v>
          </cell>
          <cell r="G39">
            <v>10.47</v>
          </cell>
        </row>
        <row r="40">
          <cell r="A40" t="str">
            <v>08:Q4</v>
          </cell>
          <cell r="B40">
            <v>36.72</v>
          </cell>
          <cell r="C40">
            <v>87.57</v>
          </cell>
          <cell r="D40">
            <v>76.55</v>
          </cell>
          <cell r="E40">
            <v>64.53</v>
          </cell>
          <cell r="F40">
            <v>23.78</v>
          </cell>
          <cell r="G40">
            <v>9.4380000000000006</v>
          </cell>
        </row>
        <row r="41">
          <cell r="A41" t="str">
            <v>09:Q1</v>
          </cell>
          <cell r="B41">
            <v>31.42</v>
          </cell>
          <cell r="C41">
            <v>96.02</v>
          </cell>
          <cell r="D41">
            <v>122.5</v>
          </cell>
          <cell r="E41">
            <v>84.22</v>
          </cell>
          <cell r="F41">
            <v>43.35</v>
          </cell>
          <cell r="G41">
            <v>18.97</v>
          </cell>
        </row>
        <row r="42">
          <cell r="A42" t="str">
            <v>09:Q2</v>
          </cell>
          <cell r="B42">
            <v>36.33</v>
          </cell>
          <cell r="C42">
            <v>128.30000000000001</v>
          </cell>
          <cell r="D42">
            <v>165.3</v>
          </cell>
          <cell r="E42">
            <v>115.3</v>
          </cell>
          <cell r="F42">
            <v>51.42</v>
          </cell>
          <cell r="G42">
            <v>16.29</v>
          </cell>
        </row>
        <row r="43">
          <cell r="A43" t="str">
            <v>09:Q3</v>
          </cell>
          <cell r="B43">
            <v>41.34</v>
          </cell>
          <cell r="C43">
            <v>131.30000000000001</v>
          </cell>
          <cell r="D43">
            <v>155.6</v>
          </cell>
          <cell r="E43">
            <v>114.8</v>
          </cell>
          <cell r="F43">
            <v>49.89</v>
          </cell>
          <cell r="G43">
            <v>14.98</v>
          </cell>
        </row>
        <row r="44">
          <cell r="A44" t="str">
            <v>09:Q4</v>
          </cell>
          <cell r="B44">
            <v>40.31</v>
          </cell>
          <cell r="C44">
            <v>98.21</v>
          </cell>
          <cell r="D44">
            <v>111.1</v>
          </cell>
          <cell r="E44">
            <v>79.709999999999994</v>
          </cell>
          <cell r="F44">
            <v>39.880000000000003</v>
          </cell>
          <cell r="G44">
            <v>14.28</v>
          </cell>
        </row>
        <row r="45">
          <cell r="A45" t="str">
            <v>10:Q1</v>
          </cell>
          <cell r="B45">
            <v>36.53</v>
          </cell>
          <cell r="C45">
            <v>97.92</v>
          </cell>
          <cell r="D45">
            <v>108.4</v>
          </cell>
          <cell r="E45">
            <v>80.2</v>
          </cell>
          <cell r="F45">
            <v>42.1</v>
          </cell>
          <cell r="G45">
            <v>13.22</v>
          </cell>
        </row>
        <row r="46">
          <cell r="A46" t="str">
            <v>10:Q2</v>
          </cell>
          <cell r="B46">
            <v>30.76</v>
          </cell>
          <cell r="C46">
            <v>92.47</v>
          </cell>
          <cell r="D46">
            <v>96.64</v>
          </cell>
          <cell r="E46">
            <v>83.43</v>
          </cell>
          <cell r="F46">
            <v>44.43</v>
          </cell>
          <cell r="G46">
            <v>16.829999999999998</v>
          </cell>
        </row>
        <row r="47">
          <cell r="A47" t="str">
            <v>10:Q3</v>
          </cell>
          <cell r="B47">
            <v>34.9</v>
          </cell>
          <cell r="C47">
            <v>99.76</v>
          </cell>
          <cell r="D47">
            <v>115.4</v>
          </cell>
          <cell r="E47">
            <v>83.06</v>
          </cell>
          <cell r="F47">
            <v>38.99</v>
          </cell>
          <cell r="G47">
            <v>14.7</v>
          </cell>
        </row>
        <row r="48">
          <cell r="A48" t="str">
            <v>10:Q4</v>
          </cell>
          <cell r="B48">
            <v>30.68</v>
          </cell>
          <cell r="C48">
            <v>110.9</v>
          </cell>
          <cell r="D48">
            <v>140.30000000000001</v>
          </cell>
          <cell r="E48">
            <v>108.5</v>
          </cell>
          <cell r="F48">
            <v>54.62</v>
          </cell>
          <cell r="G48">
            <v>17.47</v>
          </cell>
        </row>
        <row r="49">
          <cell r="A49" t="str">
            <v>11:Q1</v>
          </cell>
          <cell r="B49">
            <v>22.76</v>
          </cell>
          <cell r="C49">
            <v>110.7</v>
          </cell>
          <cell r="D49">
            <v>165.3</v>
          </cell>
          <cell r="E49">
            <v>116.7</v>
          </cell>
          <cell r="F49">
            <v>62.47</v>
          </cell>
          <cell r="G49">
            <v>18.100000000000001</v>
          </cell>
        </row>
        <row r="50">
          <cell r="A50" t="str">
            <v>11:Q2</v>
          </cell>
          <cell r="B50">
            <v>19.32</v>
          </cell>
          <cell r="C50">
            <v>81.209999999999994</v>
          </cell>
          <cell r="D50">
            <v>104.9</v>
          </cell>
          <cell r="E50">
            <v>84.75</v>
          </cell>
          <cell r="F50">
            <v>46.75</v>
          </cell>
          <cell r="G50">
            <v>14.46</v>
          </cell>
        </row>
        <row r="51">
          <cell r="A51" t="str">
            <v>11:Q3</v>
          </cell>
          <cell r="B51">
            <v>23.93</v>
          </cell>
          <cell r="C51">
            <v>62.5</v>
          </cell>
          <cell r="D51">
            <v>89.54</v>
          </cell>
          <cell r="E51">
            <v>62.61</v>
          </cell>
          <cell r="F51">
            <v>40.97</v>
          </cell>
          <cell r="G51">
            <v>12.66</v>
          </cell>
        </row>
        <row r="52">
          <cell r="A52" t="str">
            <v>11:Q4</v>
          </cell>
          <cell r="B52">
            <v>22.94</v>
          </cell>
          <cell r="C52">
            <v>98.99</v>
          </cell>
          <cell r="D52">
            <v>125.5</v>
          </cell>
          <cell r="E52">
            <v>89.04</v>
          </cell>
          <cell r="F52">
            <v>52.8</v>
          </cell>
          <cell r="G52">
            <v>12.89</v>
          </cell>
        </row>
        <row r="53">
          <cell r="A53" t="str">
            <v>12:Q1</v>
          </cell>
          <cell r="B53">
            <v>19.77</v>
          </cell>
          <cell r="C53">
            <v>90.08</v>
          </cell>
          <cell r="D53">
            <v>126.6</v>
          </cell>
          <cell r="E53">
            <v>97.15</v>
          </cell>
          <cell r="F53">
            <v>57.96</v>
          </cell>
          <cell r="G53">
            <v>17.73</v>
          </cell>
        </row>
        <row r="54">
          <cell r="A54" t="str">
            <v>12:Q2</v>
          </cell>
          <cell r="B54">
            <v>21.71</v>
          </cell>
          <cell r="C54">
            <v>98.83</v>
          </cell>
          <cell r="D54">
            <v>139.4</v>
          </cell>
          <cell r="E54">
            <v>111.1</v>
          </cell>
          <cell r="F54">
            <v>69.19</v>
          </cell>
          <cell r="G54">
            <v>22.04</v>
          </cell>
        </row>
        <row r="55">
          <cell r="A55" t="str">
            <v>12:Q3</v>
          </cell>
          <cell r="B55">
            <v>30.11</v>
          </cell>
          <cell r="C55">
            <v>116.1</v>
          </cell>
          <cell r="D55">
            <v>156</v>
          </cell>
          <cell r="E55">
            <v>121.2</v>
          </cell>
          <cell r="F55">
            <v>73.98</v>
          </cell>
          <cell r="G55">
            <v>22.09</v>
          </cell>
        </row>
        <row r="56">
          <cell r="A56" t="str">
            <v>12:Q4</v>
          </cell>
          <cell r="B56">
            <v>37.229999999999997</v>
          </cell>
          <cell r="C56">
            <v>136.4</v>
          </cell>
          <cell r="D56">
            <v>168.2</v>
          </cell>
          <cell r="E56">
            <v>128.69999999999999</v>
          </cell>
          <cell r="F56">
            <v>62.64</v>
          </cell>
          <cell r="G56">
            <v>19.03</v>
          </cell>
        </row>
        <row r="57">
          <cell r="A57" t="str">
            <v>13:Q1</v>
          </cell>
          <cell r="B57">
            <v>25</v>
          </cell>
          <cell r="C57">
            <v>126.7</v>
          </cell>
          <cell r="D57">
            <v>171.2</v>
          </cell>
          <cell r="E57">
            <v>148</v>
          </cell>
          <cell r="F57">
            <v>75.900000000000006</v>
          </cell>
          <cell r="G57">
            <v>27.99</v>
          </cell>
        </row>
        <row r="58">
          <cell r="A58" t="str">
            <v>13:Q2</v>
          </cell>
          <cell r="B58">
            <v>31.75</v>
          </cell>
          <cell r="C58">
            <v>125.1</v>
          </cell>
          <cell r="D58">
            <v>166.5</v>
          </cell>
          <cell r="E58">
            <v>134.80000000000001</v>
          </cell>
          <cell r="F58">
            <v>85.92</v>
          </cell>
          <cell r="G58">
            <v>30.99</v>
          </cell>
        </row>
        <row r="59">
          <cell r="A59" t="str">
            <v>13:Q3</v>
          </cell>
          <cell r="B59">
            <v>34.15</v>
          </cell>
          <cell r="C59">
            <v>122.7</v>
          </cell>
          <cell r="D59">
            <v>158.9</v>
          </cell>
          <cell r="E59">
            <v>128.1</v>
          </cell>
          <cell r="F59">
            <v>76.03</v>
          </cell>
          <cell r="G59">
            <v>26.28</v>
          </cell>
        </row>
        <row r="60">
          <cell r="A60" t="str">
            <v>13:Q4</v>
          </cell>
          <cell r="B60">
            <v>32.26</v>
          </cell>
          <cell r="C60">
            <v>106.8</v>
          </cell>
          <cell r="D60">
            <v>126.6</v>
          </cell>
          <cell r="E60">
            <v>107</v>
          </cell>
          <cell r="F60">
            <v>51.56</v>
          </cell>
          <cell r="G60">
            <v>22.12</v>
          </cell>
        </row>
        <row r="61">
          <cell r="A61" t="str">
            <v>14:Q1</v>
          </cell>
          <cell r="B61">
            <v>24.19</v>
          </cell>
          <cell r="C61">
            <v>82.56</v>
          </cell>
          <cell r="D61">
            <v>92.3</v>
          </cell>
          <cell r="E61">
            <v>77.58</v>
          </cell>
          <cell r="F61">
            <v>41.23</v>
          </cell>
          <cell r="G61">
            <v>11.63</v>
          </cell>
        </row>
        <row r="62">
          <cell r="A62" t="str">
            <v>14:Q2</v>
          </cell>
          <cell r="B62">
            <v>23.56</v>
          </cell>
          <cell r="C62">
            <v>72.709999999999994</v>
          </cell>
          <cell r="D62">
            <v>79.63</v>
          </cell>
          <cell r="E62">
            <v>60.59</v>
          </cell>
          <cell r="F62">
            <v>37.99</v>
          </cell>
          <cell r="G62">
            <v>10.57</v>
          </cell>
        </row>
        <row r="63">
          <cell r="A63" t="str">
            <v>14:Q3</v>
          </cell>
          <cell r="B63">
            <v>26.7</v>
          </cell>
          <cell r="C63">
            <v>93.24</v>
          </cell>
          <cell r="D63">
            <v>92.14</v>
          </cell>
          <cell r="E63">
            <v>71.13</v>
          </cell>
          <cell r="F63">
            <v>39.86</v>
          </cell>
          <cell r="G63">
            <v>11.99</v>
          </cell>
        </row>
        <row r="64">
          <cell r="A64" t="str">
            <v>14:Q4</v>
          </cell>
          <cell r="B64">
            <v>31.05</v>
          </cell>
          <cell r="C64">
            <v>97.57</v>
          </cell>
          <cell r="D64">
            <v>96.8</v>
          </cell>
          <cell r="E64">
            <v>71.98</v>
          </cell>
          <cell r="F64">
            <v>41.08</v>
          </cell>
          <cell r="G64">
            <v>13.52</v>
          </cell>
        </row>
        <row r="65">
          <cell r="A65" t="str">
            <v>15:Q1</v>
          </cell>
          <cell r="B65">
            <v>22.56</v>
          </cell>
          <cell r="C65">
            <v>95.03</v>
          </cell>
          <cell r="D65">
            <v>106.1</v>
          </cell>
          <cell r="E65">
            <v>70.61</v>
          </cell>
          <cell r="F65">
            <v>55.07</v>
          </cell>
          <cell r="G65">
            <v>16.309999999999999</v>
          </cell>
        </row>
        <row r="66">
          <cell r="A66" t="str">
            <v>15:Q2</v>
          </cell>
          <cell r="B66">
            <v>34.549999999999997</v>
          </cell>
          <cell r="C66">
            <v>121.7</v>
          </cell>
          <cell r="D66">
            <v>134.4</v>
          </cell>
          <cell r="E66">
            <v>102.5</v>
          </cell>
          <cell r="F66">
            <v>51.62</v>
          </cell>
          <cell r="G66">
            <v>20.440000000000001</v>
          </cell>
        </row>
        <row r="67">
          <cell r="A67" t="str">
            <v>15:Q3</v>
          </cell>
          <cell r="B67">
            <v>41.49</v>
          </cell>
          <cell r="C67">
            <v>135.69999999999999</v>
          </cell>
          <cell r="D67">
            <v>141.19999999999999</v>
          </cell>
          <cell r="E67">
            <v>109.3</v>
          </cell>
          <cell r="F67">
            <v>50.52</v>
          </cell>
          <cell r="G67">
            <v>21.36</v>
          </cell>
        </row>
        <row r="68">
          <cell r="A68" t="str">
            <v>15:Q4</v>
          </cell>
          <cell r="B68">
            <v>40.11</v>
          </cell>
          <cell r="C68">
            <v>117.2</v>
          </cell>
          <cell r="D68">
            <v>113.2</v>
          </cell>
          <cell r="E68">
            <v>98.28</v>
          </cell>
          <cell r="F68">
            <v>51.15</v>
          </cell>
          <cell r="G68">
            <v>16.64</v>
          </cell>
        </row>
        <row r="69">
          <cell r="A69" t="str">
            <v>16:Q1</v>
          </cell>
          <cell r="B69">
            <v>25.33</v>
          </cell>
          <cell r="C69">
            <v>95.94</v>
          </cell>
          <cell r="D69">
            <v>102.7</v>
          </cell>
          <cell r="E69">
            <v>91.98</v>
          </cell>
          <cell r="F69">
            <v>53.69</v>
          </cell>
          <cell r="G69">
            <v>19.27</v>
          </cell>
        </row>
        <row r="70">
          <cell r="A70" t="str">
            <v>16:Q2</v>
          </cell>
          <cell r="B70">
            <v>32.06</v>
          </cell>
          <cell r="C70">
            <v>113.1</v>
          </cell>
          <cell r="D70">
            <v>123.2</v>
          </cell>
          <cell r="E70">
            <v>88.5</v>
          </cell>
          <cell r="F70">
            <v>44.96</v>
          </cell>
          <cell r="G70">
            <v>25</v>
          </cell>
        </row>
        <row r="71">
          <cell r="A71" t="str">
            <v>16:Q3</v>
          </cell>
          <cell r="B71">
            <v>43.22</v>
          </cell>
          <cell r="C71">
            <v>132.1</v>
          </cell>
          <cell r="D71">
            <v>133.30000000000001</v>
          </cell>
          <cell r="E71">
            <v>93.54</v>
          </cell>
          <cell r="F71">
            <v>57.26</v>
          </cell>
          <cell r="G71">
            <v>18</v>
          </cell>
        </row>
        <row r="72">
          <cell r="A72" t="str">
            <v>16:Q4</v>
          </cell>
          <cell r="B72">
            <v>50.04</v>
          </cell>
          <cell r="C72">
            <v>163.69999999999999</v>
          </cell>
          <cell r="D72">
            <v>178.3</v>
          </cell>
          <cell r="E72">
            <v>120.9</v>
          </cell>
          <cell r="F72">
            <v>76.61</v>
          </cell>
          <cell r="G72">
            <v>27.27</v>
          </cell>
        </row>
        <row r="73">
          <cell r="A73" t="str">
            <v>17:Q1</v>
          </cell>
          <cell r="B73">
            <v>33.090000000000003</v>
          </cell>
          <cell r="C73">
            <v>132.9</v>
          </cell>
          <cell r="D73">
            <v>123</v>
          </cell>
          <cell r="E73">
            <v>118.3</v>
          </cell>
          <cell r="F73">
            <v>56.66</v>
          </cell>
          <cell r="G73">
            <v>26.64</v>
          </cell>
        </row>
        <row r="74">
          <cell r="A74" t="str">
            <v>17:Q2</v>
          </cell>
          <cell r="B74">
            <v>36.380000000000003</v>
          </cell>
          <cell r="C74">
            <v>111.1</v>
          </cell>
          <cell r="D74">
            <v>112.2</v>
          </cell>
          <cell r="E74">
            <v>89.97</v>
          </cell>
          <cell r="F74">
            <v>49.91</v>
          </cell>
          <cell r="G74">
            <v>21.24</v>
          </cell>
        </row>
        <row r="75">
          <cell r="A75" t="str">
            <v>17:Q3</v>
          </cell>
          <cell r="B75">
            <v>48.12</v>
          </cell>
          <cell r="C75">
            <v>134.69999999999999</v>
          </cell>
          <cell r="D75">
            <v>124.2</v>
          </cell>
          <cell r="E75">
            <v>93.19</v>
          </cell>
          <cell r="F75">
            <v>56.71</v>
          </cell>
          <cell r="G75">
            <v>22.38</v>
          </cell>
        </row>
        <row r="76">
          <cell r="A76" t="str">
            <v>17:Q4</v>
          </cell>
          <cell r="B76">
            <v>45.09</v>
          </cell>
          <cell r="C76">
            <v>129.6</v>
          </cell>
          <cell r="D76">
            <v>115.7</v>
          </cell>
          <cell r="E76">
            <v>85.75</v>
          </cell>
          <cell r="F76">
            <v>52.81</v>
          </cell>
          <cell r="G76">
            <v>22.4</v>
          </cell>
        </row>
        <row r="77">
          <cell r="A77" t="str">
            <v>18:Q1</v>
          </cell>
          <cell r="B77">
            <v>29.06</v>
          </cell>
          <cell r="C77">
            <v>101.9</v>
          </cell>
          <cell r="D77">
            <v>128.80000000000001</v>
          </cell>
          <cell r="E77">
            <v>84.51</v>
          </cell>
          <cell r="F77">
            <v>56.49</v>
          </cell>
          <cell r="G77">
            <v>27.14</v>
          </cell>
        </row>
        <row r="78">
          <cell r="A78" t="str">
            <v>18:Q2</v>
          </cell>
          <cell r="B78">
            <v>37.4</v>
          </cell>
          <cell r="C78">
            <v>120.7</v>
          </cell>
          <cell r="D78">
            <v>109.1</v>
          </cell>
          <cell r="E78">
            <v>90.66</v>
          </cell>
          <cell r="F78">
            <v>51.54</v>
          </cell>
          <cell r="G78">
            <v>27.48</v>
          </cell>
        </row>
        <row r="79">
          <cell r="A79" t="str">
            <v>18:Q3</v>
          </cell>
          <cell r="B79">
            <v>47.03</v>
          </cell>
          <cell r="C79">
            <v>124.8</v>
          </cell>
          <cell r="D79">
            <v>110.8</v>
          </cell>
          <cell r="E79">
            <v>88.18</v>
          </cell>
          <cell r="F79">
            <v>54.68</v>
          </cell>
          <cell r="G79">
            <v>19.78</v>
          </cell>
        </row>
        <row r="80">
          <cell r="A80" t="str">
            <v>18:Q4</v>
          </cell>
          <cell r="B80">
            <v>36.14</v>
          </cell>
          <cell r="C80">
            <v>115</v>
          </cell>
          <cell r="D80">
            <v>111.3</v>
          </cell>
          <cell r="E80">
            <v>72.09</v>
          </cell>
          <cell r="F80">
            <v>42.5</v>
          </cell>
          <cell r="G80">
            <v>24.55</v>
          </cell>
        </row>
        <row r="81">
          <cell r="A81" t="str">
            <v>19:Q1</v>
          </cell>
          <cell r="B81">
            <v>29.7</v>
          </cell>
          <cell r="C81">
            <v>99.39</v>
          </cell>
          <cell r="D81">
            <v>85.49</v>
          </cell>
          <cell r="E81">
            <v>67.91</v>
          </cell>
          <cell r="F81">
            <v>39.92</v>
          </cell>
          <cell r="G81">
            <v>21.4</v>
          </cell>
        </row>
        <row r="82">
          <cell r="A82" t="str">
            <v>19:Q2</v>
          </cell>
          <cell r="B82">
            <v>43.65</v>
          </cell>
          <cell r="C82">
            <v>130.1</v>
          </cell>
          <cell r="D82">
            <v>119.8</v>
          </cell>
          <cell r="E82">
            <v>96.51</v>
          </cell>
          <cell r="F82">
            <v>55.81</v>
          </cell>
          <cell r="G82">
            <v>28</v>
          </cell>
        </row>
        <row r="83">
          <cell r="A83" t="str">
            <v>19:Q3</v>
          </cell>
          <cell r="B83">
            <v>45.56</v>
          </cell>
          <cell r="C83">
            <v>156.80000000000001</v>
          </cell>
          <cell r="D83">
            <v>142.5</v>
          </cell>
          <cell r="E83">
            <v>96.92</v>
          </cell>
          <cell r="F83">
            <v>56.47</v>
          </cell>
          <cell r="G83">
            <v>29.6</v>
          </cell>
        </row>
        <row r="84">
          <cell r="A84" t="str">
            <v>19:Q4</v>
          </cell>
          <cell r="B84">
            <v>65.84</v>
          </cell>
          <cell r="C84">
            <v>210.1</v>
          </cell>
          <cell r="D84">
            <v>208.5</v>
          </cell>
          <cell r="E84">
            <v>143.80000000000001</v>
          </cell>
          <cell r="F84">
            <v>88.49</v>
          </cell>
          <cell r="G84">
            <v>34.46</v>
          </cell>
        </row>
        <row r="85">
          <cell r="A85" t="str">
            <v>20:Q1</v>
          </cell>
          <cell r="B85">
            <v>49.06</v>
          </cell>
          <cell r="C85">
            <v>170.5</v>
          </cell>
          <cell r="D85">
            <v>185.8</v>
          </cell>
          <cell r="E85">
            <v>138.4</v>
          </cell>
          <cell r="F85">
            <v>70.59</v>
          </cell>
          <cell r="G85">
            <v>46.89</v>
          </cell>
        </row>
        <row r="86">
          <cell r="A86" t="str">
            <v>20:Q2</v>
          </cell>
          <cell r="B86">
            <v>59.07</v>
          </cell>
          <cell r="C86">
            <v>238.6</v>
          </cell>
          <cell r="D86">
            <v>229.3</v>
          </cell>
          <cell r="E86">
            <v>176.5</v>
          </cell>
          <cell r="F86">
            <v>95.67</v>
          </cell>
          <cell r="G86">
            <v>47.75</v>
          </cell>
        </row>
        <row r="87">
          <cell r="A87" t="str">
            <v>20:Q3</v>
          </cell>
          <cell r="B87">
            <v>85.43</v>
          </cell>
          <cell r="C87">
            <v>297.8</v>
          </cell>
          <cell r="D87">
            <v>290.3</v>
          </cell>
          <cell r="E87">
            <v>220.7</v>
          </cell>
          <cell r="F87">
            <v>99.68</v>
          </cell>
          <cell r="G87">
            <v>54.91</v>
          </cell>
        </row>
        <row r="88">
          <cell r="A88" t="str">
            <v>20:Q4</v>
          </cell>
          <cell r="B88">
            <v>83.93</v>
          </cell>
          <cell r="C88">
            <v>332.1</v>
          </cell>
          <cell r="D88">
            <v>310.89999999999998</v>
          </cell>
          <cell r="E88">
            <v>250.9</v>
          </cell>
          <cell r="F88">
            <v>133.5</v>
          </cell>
          <cell r="G88">
            <v>61.85</v>
          </cell>
        </row>
        <row r="89">
          <cell r="A89" t="str">
            <v>21:Q1</v>
          </cell>
          <cell r="B89">
            <v>68.56</v>
          </cell>
          <cell r="C89">
            <v>291.7</v>
          </cell>
          <cell r="D89">
            <v>324.7</v>
          </cell>
          <cell r="E89">
            <v>234</v>
          </cell>
          <cell r="F89">
            <v>148.80000000000001</v>
          </cell>
          <cell r="G89">
            <v>69.73</v>
          </cell>
        </row>
        <row r="90">
          <cell r="A90" t="str">
            <v>21:Q2</v>
          </cell>
          <cell r="B90">
            <v>77.59</v>
          </cell>
          <cell r="C90">
            <v>295.89999999999998</v>
          </cell>
          <cell r="D90">
            <v>336.4</v>
          </cell>
          <cell r="E90">
            <v>264.5</v>
          </cell>
          <cell r="F90">
            <v>168.4</v>
          </cell>
          <cell r="G90">
            <v>74.84</v>
          </cell>
        </row>
        <row r="91">
          <cell r="A91" t="str">
            <v>21:Q3</v>
          </cell>
          <cell r="B91">
            <v>87.38</v>
          </cell>
          <cell r="C91">
            <v>289.5</v>
          </cell>
          <cell r="D91">
            <v>300.7</v>
          </cell>
          <cell r="E91">
            <v>244.2</v>
          </cell>
          <cell r="F91">
            <v>121.3</v>
          </cell>
          <cell r="G91">
            <v>70.5</v>
          </cell>
        </row>
        <row r="92">
          <cell r="A92" t="str">
            <v>21:Q4</v>
          </cell>
          <cell r="B92">
            <v>80.36</v>
          </cell>
          <cell r="C92">
            <v>283.7</v>
          </cell>
          <cell r="D92">
            <v>273.60000000000002</v>
          </cell>
          <cell r="E92">
            <v>216.8</v>
          </cell>
          <cell r="F92">
            <v>122.6</v>
          </cell>
          <cell r="G92">
            <v>57.27</v>
          </cell>
        </row>
        <row r="93">
          <cell r="A93" t="str">
            <v>22:Q1</v>
          </cell>
          <cell r="B93">
            <v>55.24</v>
          </cell>
          <cell r="C93">
            <v>208.9</v>
          </cell>
          <cell r="D93">
            <v>239.2</v>
          </cell>
          <cell r="E93">
            <v>185.5</v>
          </cell>
          <cell r="F93">
            <v>118.1</v>
          </cell>
          <cell r="G93">
            <v>51.57</v>
          </cell>
        </row>
        <row r="94">
          <cell r="A94" t="str">
            <v>22:Q2</v>
          </cell>
          <cell r="B94">
            <v>60.85</v>
          </cell>
          <cell r="C94">
            <v>202.4</v>
          </cell>
          <cell r="D94">
            <v>209.4</v>
          </cell>
          <cell r="E94">
            <v>153.80000000000001</v>
          </cell>
          <cell r="F94">
            <v>86.34</v>
          </cell>
          <cell r="G94">
            <v>44.37</v>
          </cell>
        </row>
        <row r="95">
          <cell r="A95" t="str">
            <v>22:Q3</v>
          </cell>
          <cell r="B95">
            <v>70.7</v>
          </cell>
          <cell r="C95">
            <v>193.6</v>
          </cell>
          <cell r="D95">
            <v>163.80000000000001</v>
          </cell>
          <cell r="E95">
            <v>97.92</v>
          </cell>
          <cell r="F95">
            <v>72.790000000000006</v>
          </cell>
          <cell r="G95">
            <v>32.83</v>
          </cell>
        </row>
        <row r="96">
          <cell r="A96" t="str">
            <v>22:Q4</v>
          </cell>
          <cell r="B96">
            <v>61.43</v>
          </cell>
          <cell r="C96">
            <v>154.5</v>
          </cell>
          <cell r="D96">
            <v>120.5</v>
          </cell>
          <cell r="E96">
            <v>85.61</v>
          </cell>
          <cell r="F96">
            <v>53.56</v>
          </cell>
          <cell r="G96">
            <v>21.36</v>
          </cell>
        </row>
        <row r="97">
          <cell r="A97" t="str">
            <v>23:Q1</v>
          </cell>
          <cell r="B97">
            <v>41.07</v>
          </cell>
          <cell r="C97">
            <v>85.36</v>
          </cell>
          <cell r="D97">
            <v>87.78</v>
          </cell>
          <cell r="E97">
            <v>58.11</v>
          </cell>
          <cell r="F97">
            <v>36.130000000000003</v>
          </cell>
          <cell r="G97">
            <v>14.48</v>
          </cell>
        </row>
        <row r="98">
          <cell r="A98" t="str">
            <v>23:Q2</v>
          </cell>
          <cell r="B98">
            <v>49.65</v>
          </cell>
          <cell r="C98">
            <v>121.1</v>
          </cell>
          <cell r="D98">
            <v>87.62</v>
          </cell>
          <cell r="E98">
            <v>75.349999999999994</v>
          </cell>
          <cell r="F98">
            <v>40.380000000000003</v>
          </cell>
          <cell r="G98">
            <v>18.93</v>
          </cell>
        </row>
        <row r="99">
          <cell r="A99" t="str">
            <v>23:Q3</v>
          </cell>
          <cell r="B99">
            <v>48.67</v>
          </cell>
          <cell r="C99">
            <v>119.7</v>
          </cell>
          <cell r="D99">
            <v>101</v>
          </cell>
          <cell r="E99">
            <v>58.57</v>
          </cell>
          <cell r="F99">
            <v>37.270000000000003</v>
          </cell>
          <cell r="G99">
            <v>20.59</v>
          </cell>
        </row>
        <row r="100">
          <cell r="A100" t="str">
            <v>23:Q4</v>
          </cell>
          <cell r="B100">
            <v>51.36</v>
          </cell>
          <cell r="C100">
            <v>122</v>
          </cell>
          <cell r="D100">
            <v>96.570000000000007</v>
          </cell>
          <cell r="E100">
            <v>67.540000000000006</v>
          </cell>
          <cell r="F100">
            <v>36.96</v>
          </cell>
          <cell r="G100">
            <v>16.559999999999999</v>
          </cell>
        </row>
        <row r="101">
          <cell r="A101" t="str">
            <v>24:Q1</v>
          </cell>
          <cell r="B101">
            <v>38.36</v>
          </cell>
          <cell r="C101">
            <v>111.4</v>
          </cell>
          <cell r="D101">
            <v>110.9</v>
          </cell>
          <cell r="E101">
            <v>74.239999999999995</v>
          </cell>
          <cell r="F101">
            <v>43.41</v>
          </cell>
          <cell r="G101">
            <v>24.36</v>
          </cell>
        </row>
        <row r="102">
          <cell r="A102" t="str">
            <v>24:Q2</v>
          </cell>
          <cell r="B102">
            <v>40.92</v>
          </cell>
          <cell r="C102">
            <v>119.1</v>
          </cell>
          <cell r="D102">
            <v>86.33</v>
          </cell>
          <cell r="E102">
            <v>62.9</v>
          </cell>
          <cell r="F102">
            <v>42.09</v>
          </cell>
          <cell r="G102">
            <v>22.57</v>
          </cell>
        </row>
        <row r="103">
          <cell r="A103" t="str">
            <v>24:Q3</v>
          </cell>
          <cell r="B103">
            <v>49.15</v>
          </cell>
          <cell r="C103">
            <v>140.9</v>
          </cell>
          <cell r="D103">
            <v>103.5</v>
          </cell>
          <cell r="E103">
            <v>84.6</v>
          </cell>
          <cell r="F103">
            <v>46.69</v>
          </cell>
          <cell r="G103">
            <v>22.92</v>
          </cell>
        </row>
        <row r="104">
          <cell r="A104" t="str">
            <v>24:Q4</v>
          </cell>
          <cell r="B104">
            <v>58.19</v>
          </cell>
          <cell r="C104">
            <v>147.30000000000001</v>
          </cell>
          <cell r="D104">
            <v>105.6</v>
          </cell>
          <cell r="E104">
            <v>89.7</v>
          </cell>
          <cell r="F104">
            <v>39.53</v>
          </cell>
          <cell r="G104">
            <v>24.61</v>
          </cell>
        </row>
        <row r="105">
          <cell r="A105" t="str">
            <v>25:Q1</v>
          </cell>
          <cell r="B105">
            <v>43.26</v>
          </cell>
          <cell r="C105">
            <v>123.7</v>
          </cell>
          <cell r="D105">
            <v>110.5</v>
          </cell>
          <cell r="E105">
            <v>79.790000000000006</v>
          </cell>
          <cell r="F105">
            <v>44.02</v>
          </cell>
          <cell r="G105">
            <v>23.78</v>
          </cell>
        </row>
        <row r="106">
          <cell r="A106" t="str">
            <v>25:Q2</v>
          </cell>
          <cell r="B106">
            <v>45.28</v>
          </cell>
          <cell r="C106">
            <v>137.19999999999999</v>
          </cell>
          <cell r="D106">
            <v>114.4</v>
          </cell>
          <cell r="E106">
            <v>82.34</v>
          </cell>
          <cell r="F106">
            <v>51.06</v>
          </cell>
          <cell r="G106">
            <v>27.49</v>
          </cell>
        </row>
        <row r="107">
          <cell r="A107" t="str">
            <v>25:Q3</v>
          </cell>
          <cell r="B107">
            <v>51.1</v>
          </cell>
          <cell r="C107">
            <v>173.2</v>
          </cell>
          <cell r="D107">
            <v>117.5</v>
          </cell>
          <cell r="E107">
            <v>97.88</v>
          </cell>
          <cell r="F107">
            <v>48.65</v>
          </cell>
          <cell r="G107">
            <v>22.92</v>
          </cell>
        </row>
        <row r="108">
          <cell r="A108" t="str">
            <v>25:Q4</v>
          </cell>
          <cell r="B108">
            <v>57.42</v>
          </cell>
          <cell r="C108">
            <v>158.5</v>
          </cell>
          <cell r="D108">
            <v>130.30000000000001</v>
          </cell>
          <cell r="E108">
            <v>96.14</v>
          </cell>
          <cell r="F108">
            <v>58.71</v>
          </cell>
          <cell r="G108">
            <v>23.33</v>
          </cell>
        </row>
        <row r="109">
          <cell r="A109" t="str">
            <v>26:Q1</v>
          </cell>
          <cell r="B109">
            <v>49.84</v>
          </cell>
          <cell r="C109">
            <v>156.30000000000001</v>
          </cell>
          <cell r="D109">
            <v>128.5</v>
          </cell>
          <cell r="E109">
            <v>103.7</v>
          </cell>
          <cell r="F109">
            <v>56.54</v>
          </cell>
          <cell r="G109">
            <v>34.409999999999997</v>
          </cell>
        </row>
      </sheetData>
      <sheetData sheetId="40" refreshError="1"/>
      <sheetData sheetId="41">
        <row r="1">
          <cell r="A1" t="str">
            <v>Transition into Serious Delinquency (90+) by Age</v>
          </cell>
        </row>
        <row r="2">
          <cell r="A2" t="str">
            <v>Percent</v>
          </cell>
        </row>
        <row r="3">
          <cell r="A3" t="str">
            <v>quarter</v>
          </cell>
          <cell r="B3" t="str">
            <v>18-29</v>
          </cell>
          <cell r="C3" t="str">
            <v>30-39</v>
          </cell>
          <cell r="D3" t="str">
            <v>40-49</v>
          </cell>
          <cell r="E3" t="str">
            <v>50-59</v>
          </cell>
          <cell r="F3" t="str">
            <v>60-69</v>
          </cell>
          <cell r="G3" t="str">
            <v>70+</v>
          </cell>
        </row>
        <row r="4">
          <cell r="A4" t="str">
            <v>00:Q1</v>
          </cell>
          <cell r="B4">
            <v>4.2301579591162337</v>
          </cell>
          <cell r="C4">
            <v>2.09400892556897</v>
          </cell>
          <cell r="D4">
            <v>1.6389507819409426</v>
          </cell>
          <cell r="E4">
            <v>1.4070125205268731</v>
          </cell>
          <cell r="F4">
            <v>1.1252385802837317</v>
          </cell>
          <cell r="G4">
            <v>1.8583789302120437</v>
          </cell>
        </row>
        <row r="5">
          <cell r="A5" t="str">
            <v>00:Q2</v>
          </cell>
          <cell r="B5">
            <v>4.5919187273995554</v>
          </cell>
          <cell r="C5">
            <v>2.1475823308547035</v>
          </cell>
          <cell r="D5">
            <v>1.6094950883807715</v>
          </cell>
          <cell r="E5">
            <v>1.4035434091611059</v>
          </cell>
          <cell r="F5">
            <v>1.0967530379663006</v>
          </cell>
          <cell r="G5">
            <v>2.1763751365846953</v>
          </cell>
        </row>
        <row r="6">
          <cell r="A6" t="str">
            <v>00:Q3</v>
          </cell>
          <cell r="B6">
            <v>4.446974050512444</v>
          </cell>
          <cell r="C6">
            <v>2.1636929299221963</v>
          </cell>
          <cell r="D6">
            <v>1.5527763955083123</v>
          </cell>
          <cell r="E6">
            <v>1.3231956778353904</v>
          </cell>
          <cell r="F6">
            <v>1.0282115054630416</v>
          </cell>
          <cell r="G6">
            <v>2.1131342166110416</v>
          </cell>
        </row>
        <row r="7">
          <cell r="A7" t="str">
            <v>00:Q4</v>
          </cell>
          <cell r="B7">
            <v>4.614424324904995</v>
          </cell>
          <cell r="C7">
            <v>2.2851875950601053</v>
          </cell>
          <cell r="D7">
            <v>1.7373861838681004</v>
          </cell>
          <cell r="E7">
            <v>1.4078754171035501</v>
          </cell>
          <cell r="F7">
            <v>1.1448070868068243</v>
          </cell>
          <cell r="G7">
            <v>2.3302957229667256</v>
          </cell>
        </row>
        <row r="8">
          <cell r="A8" t="str">
            <v>01:Q1</v>
          </cell>
          <cell r="B8">
            <v>4.8515781926632782</v>
          </cell>
          <cell r="C8">
            <v>2.3446651112101802</v>
          </cell>
          <cell r="D8">
            <v>1.7908600321494585</v>
          </cell>
          <cell r="E8">
            <v>1.4961765718828586</v>
          </cell>
          <cell r="F8">
            <v>1.1483077480998791</v>
          </cell>
          <cell r="G8">
            <v>2.4240820424399496</v>
          </cell>
        </row>
        <row r="9">
          <cell r="A9" t="str">
            <v>01:Q2</v>
          </cell>
          <cell r="B9">
            <v>4.8709768306991412</v>
          </cell>
          <cell r="C9">
            <v>2.5050013645393823</v>
          </cell>
          <cell r="D9">
            <v>1.9638542801784169</v>
          </cell>
          <cell r="E9">
            <v>1.5207834901218524</v>
          </cell>
          <cell r="F9">
            <v>1.213435081462086</v>
          </cell>
          <cell r="G9">
            <v>2.3443290724733945</v>
          </cell>
        </row>
        <row r="10">
          <cell r="A10" t="str">
            <v>01:Q3</v>
          </cell>
          <cell r="B10">
            <v>5.4281786662640563</v>
          </cell>
          <cell r="C10">
            <v>2.737794111852228</v>
          </cell>
          <cell r="D10">
            <v>2.1197294176991242</v>
          </cell>
          <cell r="E10">
            <v>1.6438452487954607</v>
          </cell>
          <cell r="F10">
            <v>1.3533889352555915</v>
          </cell>
          <cell r="G10">
            <v>2.4120111173434289</v>
          </cell>
        </row>
        <row r="11">
          <cell r="A11" t="str">
            <v>01:Q4</v>
          </cell>
          <cell r="B11">
            <v>5.7335832161581095</v>
          </cell>
          <cell r="C11">
            <v>2.8756212630034432</v>
          </cell>
          <cell r="D11">
            <v>2.1128810621539595</v>
          </cell>
          <cell r="E11">
            <v>1.7288775969402255</v>
          </cell>
          <cell r="F11">
            <v>1.5383566385797953</v>
          </cell>
          <cell r="G11">
            <v>2.2600702317309747</v>
          </cell>
        </row>
        <row r="12">
          <cell r="A12" t="str">
            <v>02:Q1</v>
          </cell>
          <cell r="B12">
            <v>5.8427901375724653</v>
          </cell>
          <cell r="C12">
            <v>2.9392439904404624</v>
          </cell>
          <cell r="D12">
            <v>2.2754567041575195</v>
          </cell>
          <cell r="E12">
            <v>1.7642351955189186</v>
          </cell>
          <cell r="F12">
            <v>1.8679642244765107</v>
          </cell>
          <cell r="G12">
            <v>2.3684917242693095</v>
          </cell>
        </row>
        <row r="13">
          <cell r="A13" t="str">
            <v>02:Q2</v>
          </cell>
          <cell r="B13">
            <v>5.7777937223016398</v>
          </cell>
          <cell r="C13">
            <v>2.8628012258799282</v>
          </cell>
          <cell r="D13">
            <v>2.2751414145803803</v>
          </cell>
          <cell r="E13">
            <v>1.9038634047586784</v>
          </cell>
          <cell r="F13">
            <v>1.9087640066717875</v>
          </cell>
          <cell r="G13">
            <v>2.0547978764047259</v>
          </cell>
        </row>
        <row r="14">
          <cell r="A14" t="str">
            <v>02:Q3</v>
          </cell>
          <cell r="B14">
            <v>5.6574367266273633</v>
          </cell>
          <cell r="C14">
            <v>2.7696005254589302</v>
          </cell>
          <cell r="D14">
            <v>2.323324978286565</v>
          </cell>
          <cell r="E14">
            <v>1.9492906595852482</v>
          </cell>
          <cell r="F14">
            <v>1.952379583431773</v>
          </cell>
          <cell r="G14">
            <v>2.1889203424053516</v>
          </cell>
        </row>
        <row r="15">
          <cell r="A15" t="str">
            <v>02:Q4</v>
          </cell>
          <cell r="B15">
            <v>5.5495707458291719</v>
          </cell>
          <cell r="C15">
            <v>2.7480251759385057</v>
          </cell>
          <cell r="D15">
            <v>2.4427214421161385</v>
          </cell>
          <cell r="E15">
            <v>1.9385369308637126</v>
          </cell>
          <cell r="F15">
            <v>1.8148450292001073</v>
          </cell>
          <cell r="G15">
            <v>2.5575894069212075</v>
          </cell>
        </row>
        <row r="16">
          <cell r="A16" t="str">
            <v>03:Q1</v>
          </cell>
          <cell r="B16">
            <v>5.5600043509325232</v>
          </cell>
          <cell r="C16">
            <v>2.7638610109587809</v>
          </cell>
          <cell r="D16">
            <v>2.3268038310505119</v>
          </cell>
          <cell r="E16">
            <v>1.9833035996581456</v>
          </cell>
          <cell r="F16">
            <v>1.5664123469428206</v>
          </cell>
          <cell r="G16">
            <v>2.5716939306839075</v>
          </cell>
        </row>
        <row r="17">
          <cell r="A17" t="str">
            <v>03:Q2</v>
          </cell>
          <cell r="B17">
            <v>5.3169709956149047</v>
          </cell>
          <cell r="C17">
            <v>2.8807670076276763</v>
          </cell>
          <cell r="D17">
            <v>2.3809962107995428</v>
          </cell>
          <cell r="E17">
            <v>1.9252792626436328</v>
          </cell>
          <cell r="F17">
            <v>1.7917614340683095</v>
          </cell>
          <cell r="G17">
            <v>2.8115556728073954</v>
          </cell>
        </row>
        <row r="18">
          <cell r="A18" t="str">
            <v>03:Q3</v>
          </cell>
          <cell r="B18">
            <v>4.8508772213370559</v>
          </cell>
          <cell r="C18">
            <v>2.8597760333941986</v>
          </cell>
          <cell r="D18">
            <v>2.3468705170784849</v>
          </cell>
          <cell r="E18">
            <v>1.8996783262114552</v>
          </cell>
          <cell r="F18">
            <v>1.8382580856290034</v>
          </cell>
          <cell r="G18">
            <v>2.8095345804587839</v>
          </cell>
        </row>
        <row r="19">
          <cell r="A19" t="str">
            <v>03:Q4</v>
          </cell>
          <cell r="B19">
            <v>4.4940660778328851</v>
          </cell>
          <cell r="C19">
            <v>2.7781157087091803</v>
          </cell>
          <cell r="D19">
            <v>2.2161498266522726</v>
          </cell>
          <cell r="E19">
            <v>1.8334361837848641</v>
          </cell>
          <cell r="F19">
            <v>1.8059138618840886</v>
          </cell>
          <cell r="G19">
            <v>2.6892304479208726</v>
          </cell>
        </row>
        <row r="20">
          <cell r="A20" t="str">
            <v>04:Q1</v>
          </cell>
          <cell r="B20">
            <v>3.9290784969217625</v>
          </cell>
          <cell r="C20">
            <v>2.6012329717927583</v>
          </cell>
          <cell r="D20">
            <v>2.1565602514520528</v>
          </cell>
          <cell r="E20">
            <v>1.7185181635803217</v>
          </cell>
          <cell r="F20">
            <v>1.6577997340182369</v>
          </cell>
          <cell r="G20">
            <v>2.3666830801221082</v>
          </cell>
        </row>
        <row r="21">
          <cell r="A21" t="str">
            <v>04:Q2</v>
          </cell>
          <cell r="B21">
            <v>3.8561347113522584</v>
          </cell>
          <cell r="C21">
            <v>2.4641837314376009</v>
          </cell>
          <cell r="D21">
            <v>2.0735052241675853</v>
          </cell>
          <cell r="E21">
            <v>1.6215705310108173</v>
          </cell>
          <cell r="F21">
            <v>1.4406100559464416</v>
          </cell>
          <cell r="G21">
            <v>2.227563530989102</v>
          </cell>
        </row>
        <row r="22">
          <cell r="A22" t="str">
            <v>04:Q3</v>
          </cell>
          <cell r="B22">
            <v>3.7967562927800986</v>
          </cell>
          <cell r="C22">
            <v>2.4428696155418472</v>
          </cell>
          <cell r="D22">
            <v>2.077126173851819</v>
          </cell>
          <cell r="E22">
            <v>1.5856809417749178</v>
          </cell>
          <cell r="F22">
            <v>1.435967176638373</v>
          </cell>
          <cell r="G22">
            <v>2.2317964927597007</v>
          </cell>
        </row>
        <row r="23">
          <cell r="A23" t="str">
            <v>04:Q4</v>
          </cell>
          <cell r="B23">
            <v>3.7295805122009202</v>
          </cell>
          <cell r="C23">
            <v>2.4480600710588472</v>
          </cell>
          <cell r="D23">
            <v>2.0305869517468569</v>
          </cell>
          <cell r="E23">
            <v>1.6311006486824</v>
          </cell>
          <cell r="F23">
            <v>1.4081117060868193</v>
          </cell>
          <cell r="G23">
            <v>1.9804040309579489</v>
          </cell>
        </row>
        <row r="24">
          <cell r="A24" t="str">
            <v>05:Q1</v>
          </cell>
          <cell r="B24">
            <v>3.9146930380002871</v>
          </cell>
          <cell r="C24">
            <v>2.4176722988214889</v>
          </cell>
          <cell r="D24">
            <v>1.9065015969072916</v>
          </cell>
          <cell r="E24">
            <v>1.5938517591374519</v>
          </cell>
          <cell r="F24">
            <v>1.3473064666664554</v>
          </cell>
          <cell r="G24">
            <v>2.205994831016834</v>
          </cell>
        </row>
        <row r="25">
          <cell r="A25" t="str">
            <v>05:Q2</v>
          </cell>
          <cell r="B25">
            <v>3.7702170605976604</v>
          </cell>
          <cell r="C25">
            <v>2.4126904804372016</v>
          </cell>
          <cell r="D25">
            <v>1.8024452698553701</v>
          </cell>
          <cell r="E25">
            <v>1.5935055013360857</v>
          </cell>
          <cell r="F25">
            <v>1.4081454881146964</v>
          </cell>
          <cell r="G25">
            <v>2.166719572343268</v>
          </cell>
        </row>
        <row r="26">
          <cell r="A26" t="str">
            <v>05:Q3</v>
          </cell>
          <cell r="B26">
            <v>3.8032337042818103</v>
          </cell>
          <cell r="C26">
            <v>2.3959785878826749</v>
          </cell>
          <cell r="D26">
            <v>1.7178518332713932</v>
          </cell>
          <cell r="E26">
            <v>1.5602662413651005</v>
          </cell>
          <cell r="F26">
            <v>1.3086221424650104</v>
          </cell>
          <cell r="G26">
            <v>2.2604320568980825</v>
          </cell>
        </row>
        <row r="27">
          <cell r="A27" t="str">
            <v>05:Q4</v>
          </cell>
          <cell r="B27">
            <v>3.6536585622202149</v>
          </cell>
          <cell r="C27">
            <v>2.3017738808936929</v>
          </cell>
          <cell r="D27">
            <v>1.6542329573386347</v>
          </cell>
          <cell r="E27">
            <v>1.4084201549299731</v>
          </cell>
          <cell r="F27">
            <v>1.265743608110818</v>
          </cell>
          <cell r="G27">
            <v>2.166119770150452</v>
          </cell>
        </row>
        <row r="28">
          <cell r="A28" t="str">
            <v>06:Q1</v>
          </cell>
          <cell r="B28">
            <v>3.5716462894514418</v>
          </cell>
          <cell r="C28">
            <v>2.3272354941104076</v>
          </cell>
          <cell r="D28">
            <v>1.689345814438354</v>
          </cell>
          <cell r="E28">
            <v>1.3354276143419959</v>
          </cell>
          <cell r="F28">
            <v>1.3605165660695973</v>
          </cell>
          <cell r="G28">
            <v>2.0236864843049815</v>
          </cell>
        </row>
        <row r="29">
          <cell r="A29" t="str">
            <v>06:Q2</v>
          </cell>
          <cell r="B29">
            <v>3.8271502857487012</v>
          </cell>
          <cell r="C29">
            <v>2.3358289788244075</v>
          </cell>
          <cell r="D29">
            <v>1.7171096890663624</v>
          </cell>
          <cell r="E29">
            <v>1.342588016880204</v>
          </cell>
          <cell r="F29">
            <v>1.2795638424840343</v>
          </cell>
          <cell r="G29">
            <v>2.1272606878791853</v>
          </cell>
        </row>
        <row r="30">
          <cell r="A30" t="str">
            <v>06:Q3</v>
          </cell>
          <cell r="B30">
            <v>4.0812670173978471</v>
          </cell>
          <cell r="C30">
            <v>2.6538647623801257</v>
          </cell>
          <cell r="D30">
            <v>1.877969700160383</v>
          </cell>
          <cell r="E30">
            <v>1.3550286974909869</v>
          </cell>
          <cell r="F30">
            <v>1.2073121062602401</v>
          </cell>
          <cell r="G30">
            <v>1.9617046589760183</v>
          </cell>
        </row>
        <row r="31">
          <cell r="A31" t="str">
            <v>06:Q4</v>
          </cell>
          <cell r="B31">
            <v>4.3686321542663453</v>
          </cell>
          <cell r="C31">
            <v>2.7743495498725457</v>
          </cell>
          <cell r="D31">
            <v>2.1549447770785655</v>
          </cell>
          <cell r="E31">
            <v>1.5983717020042039</v>
          </cell>
          <cell r="F31">
            <v>1.2793877909059554</v>
          </cell>
          <cell r="G31">
            <v>2.0046561843819566</v>
          </cell>
        </row>
        <row r="32">
          <cell r="A32" t="str">
            <v>07:Q1</v>
          </cell>
          <cell r="B32">
            <v>4.8064498347160258</v>
          </cell>
          <cell r="C32">
            <v>2.9809995053189038</v>
          </cell>
          <cell r="D32">
            <v>2.3590252135926191</v>
          </cell>
          <cell r="E32">
            <v>1.8836825565456696</v>
          </cell>
          <cell r="F32">
            <v>1.4150106040898009</v>
          </cell>
          <cell r="G32">
            <v>2.184222461825565</v>
          </cell>
        </row>
        <row r="33">
          <cell r="A33" t="str">
            <v>07:Q2</v>
          </cell>
          <cell r="B33">
            <v>5.3557180999147684</v>
          </cell>
          <cell r="C33">
            <v>3.4656681000760261</v>
          </cell>
          <cell r="D33">
            <v>2.7197166497150036</v>
          </cell>
          <cell r="E33">
            <v>2.1564567316544574</v>
          </cell>
          <cell r="F33">
            <v>1.6703421258126214</v>
          </cell>
          <cell r="G33">
            <v>2.522682118155422</v>
          </cell>
        </row>
        <row r="34">
          <cell r="A34" t="str">
            <v>07:Q3</v>
          </cell>
          <cell r="B34">
            <v>5.5559393097846463</v>
          </cell>
          <cell r="C34">
            <v>4.0144028060947567</v>
          </cell>
          <cell r="D34">
            <v>3.0037161694180137</v>
          </cell>
          <cell r="E34">
            <v>2.5452529661893268</v>
          </cell>
          <cell r="F34">
            <v>2.1372734722051683</v>
          </cell>
          <cell r="G34">
            <v>2.938811569453406</v>
          </cell>
        </row>
        <row r="35">
          <cell r="A35" t="str">
            <v>07:Q4</v>
          </cell>
          <cell r="B35">
            <v>6.4816159223453349</v>
          </cell>
          <cell r="C35">
            <v>5.0605182947846803</v>
          </cell>
          <cell r="D35">
            <v>3.6680477079805969</v>
          </cell>
          <cell r="E35">
            <v>2.8292623470234188</v>
          </cell>
          <cell r="F35">
            <v>2.5638838614846229</v>
          </cell>
          <cell r="G35">
            <v>3.1223766810724167</v>
          </cell>
        </row>
        <row r="36">
          <cell r="A36" t="str">
            <v>08:Q1</v>
          </cell>
          <cell r="B36">
            <v>7.0003047315795834</v>
          </cell>
          <cell r="C36">
            <v>6.5496324199389573</v>
          </cell>
          <cell r="D36">
            <v>4.5732150959366908</v>
          </cell>
          <cell r="E36">
            <v>3.2984619552855268</v>
          </cell>
          <cell r="F36">
            <v>3.2519514188870233</v>
          </cell>
          <cell r="G36">
            <v>3.4718419307569781</v>
          </cell>
        </row>
        <row r="37">
          <cell r="A37" t="str">
            <v>08:Q2</v>
          </cell>
          <cell r="B37">
            <v>7.3307973872543899</v>
          </cell>
          <cell r="C37">
            <v>7.3628617536725924</v>
          </cell>
          <cell r="D37">
            <v>5.0958924259869187</v>
          </cell>
          <cell r="E37">
            <v>3.8414410786380562</v>
          </cell>
          <cell r="F37">
            <v>3.4498920965655913</v>
          </cell>
          <cell r="G37">
            <v>3.3731074300329311</v>
          </cell>
        </row>
        <row r="38">
          <cell r="A38" t="str">
            <v>08:Q3</v>
          </cell>
          <cell r="B38">
            <v>8.2626657066039435</v>
          </cell>
          <cell r="C38">
            <v>7.8371204129618954</v>
          </cell>
          <cell r="D38">
            <v>5.9669401205459325</v>
          </cell>
          <cell r="E38">
            <v>4.6347491199064752</v>
          </cell>
          <cell r="F38">
            <v>3.7240599306683797</v>
          </cell>
          <cell r="G38">
            <v>3.4692741649476231</v>
          </cell>
        </row>
        <row r="39">
          <cell r="A39" t="str">
            <v>08:Q4</v>
          </cell>
          <cell r="B39">
            <v>8.6408992968469267</v>
          </cell>
          <cell r="C39">
            <v>8.5735667287625574</v>
          </cell>
          <cell r="D39">
            <v>6.5770807715416542</v>
          </cell>
          <cell r="E39">
            <v>5.2034103186761991</v>
          </cell>
          <cell r="F39">
            <v>4.0627991216251029</v>
          </cell>
          <cell r="G39">
            <v>4.3987517755172432</v>
          </cell>
        </row>
        <row r="40">
          <cell r="A40" t="str">
            <v>09:Q1</v>
          </cell>
          <cell r="B40">
            <v>9.1207157431804902</v>
          </cell>
          <cell r="C40">
            <v>8.8204474642082253</v>
          </cell>
          <cell r="D40">
            <v>7.4249214508465915</v>
          </cell>
          <cell r="E40">
            <v>6.3348147612998149</v>
          </cell>
          <cell r="F40">
            <v>4.3087780709120223</v>
          </cell>
          <cell r="G40">
            <v>4.907861653491576</v>
          </cell>
        </row>
        <row r="41">
          <cell r="A41" t="str">
            <v>09:Q2</v>
          </cell>
          <cell r="B41">
            <v>9.466671866635199</v>
          </cell>
          <cell r="C41">
            <v>9.4190340276405404</v>
          </cell>
          <cell r="D41">
            <v>8.4926780534806685</v>
          </cell>
          <cell r="E41">
            <v>6.9552301864681478</v>
          </cell>
          <cell r="F41">
            <v>4.9366878221508346</v>
          </cell>
          <cell r="G41">
            <v>5.9385886099381686</v>
          </cell>
        </row>
        <row r="42">
          <cell r="A42" t="str">
            <v>09:Q3</v>
          </cell>
          <cell r="B42">
            <v>8.9236502327771596</v>
          </cell>
          <cell r="C42">
            <v>9.6294579279647348</v>
          </cell>
          <cell r="D42">
            <v>8.7745803533437883</v>
          </cell>
          <cell r="E42">
            <v>6.8824631360807924</v>
          </cell>
          <cell r="F42">
            <v>5.0748909025035491</v>
          </cell>
          <cell r="G42">
            <v>5.99388643629496</v>
          </cell>
        </row>
        <row r="43">
          <cell r="A43" t="str">
            <v>09:Q4</v>
          </cell>
          <cell r="B43">
            <v>8.5038678847057092</v>
          </cell>
          <cell r="C43">
            <v>9.6542317347566531</v>
          </cell>
          <cell r="D43">
            <v>8.736651833070777</v>
          </cell>
          <cell r="E43">
            <v>7.0637833084328543</v>
          </cell>
          <cell r="F43">
            <v>5.0630003105422601</v>
          </cell>
          <cell r="G43">
            <v>5.6671386911205879</v>
          </cell>
        </row>
        <row r="44">
          <cell r="A44" t="str">
            <v>10:Q1</v>
          </cell>
          <cell r="B44">
            <v>7.8068509910706174</v>
          </cell>
          <cell r="C44">
            <v>9.0234640267853887</v>
          </cell>
          <cell r="D44">
            <v>8.1620340177991384</v>
          </cell>
          <cell r="E44">
            <v>6.7839561149768492</v>
          </cell>
          <cell r="F44">
            <v>4.7915293097997473</v>
          </cell>
          <cell r="G44">
            <v>5.2950176567420488</v>
          </cell>
        </row>
        <row r="45">
          <cell r="A45" t="str">
            <v>10:Q2</v>
          </cell>
          <cell r="B45">
            <v>6.9505514525058629</v>
          </cell>
          <cell r="C45">
            <v>8.2490947500080978</v>
          </cell>
          <cell r="D45">
            <v>7.6300366233699037</v>
          </cell>
          <cell r="E45">
            <v>6.3961290270226501</v>
          </cell>
          <cell r="F45">
            <v>4.4310847887389944</v>
          </cell>
          <cell r="G45">
            <v>4.7303642318547947</v>
          </cell>
        </row>
        <row r="46">
          <cell r="A46" t="str">
            <v>10:Q3</v>
          </cell>
          <cell r="B46">
            <v>6.4576946760748015</v>
          </cell>
          <cell r="C46">
            <v>7.7476195073983014</v>
          </cell>
          <cell r="D46">
            <v>6.9828329700469345</v>
          </cell>
          <cell r="E46">
            <v>6.2348308608084206</v>
          </cell>
          <cell r="F46">
            <v>4.1171880153441167</v>
          </cell>
          <cell r="G46">
            <v>4.7597868635060614</v>
          </cell>
        </row>
        <row r="47">
          <cell r="A47" t="str">
            <v>10:Q4</v>
          </cell>
          <cell r="B47">
            <v>5.6951497534005497</v>
          </cell>
          <cell r="C47">
            <v>6.736355910252481</v>
          </cell>
          <cell r="D47">
            <v>6.4143206551890497</v>
          </cell>
          <cell r="E47">
            <v>5.832643102756748</v>
          </cell>
          <cell r="F47">
            <v>3.9063677592134223</v>
          </cell>
          <cell r="G47">
            <v>4.4075341553152096</v>
          </cell>
        </row>
        <row r="48">
          <cell r="A48" t="str">
            <v>11:Q1</v>
          </cell>
          <cell r="B48">
            <v>5.2273563391783933</v>
          </cell>
          <cell r="C48">
            <v>6.2342138763313262</v>
          </cell>
          <cell r="D48">
            <v>5.9085833983221061</v>
          </cell>
          <cell r="E48">
            <v>4.9591588855139452</v>
          </cell>
          <cell r="F48">
            <v>3.630365742312859</v>
          </cell>
          <cell r="G48">
            <v>5.2482603841168318</v>
          </cell>
        </row>
        <row r="49">
          <cell r="A49" t="str">
            <v>11:Q2</v>
          </cell>
          <cell r="B49">
            <v>5.0915031606642058</v>
          </cell>
          <cell r="C49">
            <v>5.788330700499059</v>
          </cell>
          <cell r="D49">
            <v>5.3218284625456604</v>
          </cell>
          <cell r="E49">
            <v>4.6726901456912167</v>
          </cell>
          <cell r="F49">
            <v>3.3245634783497193</v>
          </cell>
          <cell r="G49">
            <v>4.5404325635797829</v>
          </cell>
        </row>
        <row r="50">
          <cell r="A50" t="str">
            <v>11:Q3</v>
          </cell>
          <cell r="B50">
            <v>4.8844738364310407</v>
          </cell>
          <cell r="C50">
            <v>5.6084094223897782</v>
          </cell>
          <cell r="D50">
            <v>5.3064397793092777</v>
          </cell>
          <cell r="E50">
            <v>4.245502353582693</v>
          </cell>
          <cell r="F50">
            <v>3.5774712733891039</v>
          </cell>
          <cell r="G50">
            <v>4.2278457817136621</v>
          </cell>
        </row>
        <row r="51">
          <cell r="A51" t="str">
            <v>11:Q4</v>
          </cell>
          <cell r="B51">
            <v>4.9458127989610743</v>
          </cell>
          <cell r="C51">
            <v>5.5732280184653238</v>
          </cell>
          <cell r="D51">
            <v>5.2187850916247811</v>
          </cell>
          <cell r="E51">
            <v>4.229968511716204</v>
          </cell>
          <cell r="F51">
            <v>3.4886097425353362</v>
          </cell>
          <cell r="G51">
            <v>4.3386031691989526</v>
          </cell>
        </row>
        <row r="52">
          <cell r="A52" t="str">
            <v>12:Q1</v>
          </cell>
          <cell r="B52">
            <v>4.8993939113573575</v>
          </cell>
          <cell r="C52">
            <v>5.3215200352183478</v>
          </cell>
          <cell r="D52">
            <v>5.0653103270646422</v>
          </cell>
          <cell r="E52">
            <v>4.1514055793214961</v>
          </cell>
          <cell r="F52">
            <v>3.5321586013471116</v>
          </cell>
          <cell r="G52">
            <v>3.2115612096216655</v>
          </cell>
        </row>
        <row r="53">
          <cell r="A53" t="str">
            <v>12:Q2</v>
          </cell>
          <cell r="B53">
            <v>5.124524601625426</v>
          </cell>
          <cell r="C53">
            <v>5.2327006942410428</v>
          </cell>
          <cell r="D53">
            <v>4.7555896151609165</v>
          </cell>
          <cell r="E53">
            <v>3.9138378744010049</v>
          </cell>
          <cell r="F53">
            <v>3.4136318670388208</v>
          </cell>
          <cell r="G53">
            <v>3.5452383820401736</v>
          </cell>
        </row>
        <row r="54">
          <cell r="A54" t="str">
            <v>12:Q3</v>
          </cell>
          <cell r="B54">
            <v>5.4139746972413594</v>
          </cell>
          <cell r="C54">
            <v>5.055236996231482</v>
          </cell>
          <cell r="D54">
            <v>4.3603808403461271</v>
          </cell>
          <cell r="E54">
            <v>3.812753685950701</v>
          </cell>
          <cell r="F54">
            <v>3.0371720986217547</v>
          </cell>
          <cell r="G54">
            <v>3.4572214124469487</v>
          </cell>
        </row>
        <row r="55">
          <cell r="A55" t="str">
            <v>12:Q4</v>
          </cell>
          <cell r="B55">
            <v>5.5323970528583741</v>
          </cell>
          <cell r="C55">
            <v>4.7154409479049484</v>
          </cell>
          <cell r="D55">
            <v>4.0286343704108125</v>
          </cell>
          <cell r="E55">
            <v>3.3119609619996897</v>
          </cell>
          <cell r="F55">
            <v>2.8946075292737063</v>
          </cell>
          <cell r="G55">
            <v>3.1244181634465509</v>
          </cell>
        </row>
        <row r="56">
          <cell r="A56" t="str">
            <v>13:Q1</v>
          </cell>
          <cell r="B56">
            <v>5.5345933683150683</v>
          </cell>
          <cell r="C56">
            <v>4.5751727319766022</v>
          </cell>
          <cell r="D56">
            <v>3.7926739780447893</v>
          </cell>
          <cell r="E56">
            <v>3.0405767032138562</v>
          </cell>
          <cell r="F56">
            <v>2.7374566116866061</v>
          </cell>
          <cell r="G56">
            <v>2.9682985388379572</v>
          </cell>
        </row>
        <row r="57">
          <cell r="A57" t="str">
            <v>13:Q2</v>
          </cell>
          <cell r="B57">
            <v>5.1778268701425292</v>
          </cell>
          <cell r="C57">
            <v>4.3370239950144738</v>
          </cell>
          <cell r="D57">
            <v>3.6455837088839558</v>
          </cell>
          <cell r="E57">
            <v>2.9053176891929868</v>
          </cell>
          <cell r="F57">
            <v>2.6495747562880112</v>
          </cell>
          <cell r="G57">
            <v>2.7535693172033677</v>
          </cell>
        </row>
        <row r="58">
          <cell r="A58" t="str">
            <v>13:Q3</v>
          </cell>
          <cell r="B58">
            <v>4.9724988959904906</v>
          </cell>
          <cell r="C58">
            <v>4.1100525259377418</v>
          </cell>
          <cell r="D58">
            <v>3.4258206626658483</v>
          </cell>
          <cell r="E58">
            <v>2.7419157639081688</v>
          </cell>
          <cell r="F58">
            <v>2.3889759130666715</v>
          </cell>
          <cell r="G58">
            <v>2.6350895722095236</v>
          </cell>
        </row>
        <row r="59">
          <cell r="A59" t="str">
            <v>13:Q4</v>
          </cell>
          <cell r="B59">
            <v>4.8272030584615244</v>
          </cell>
          <cell r="C59">
            <v>3.9806999871608113</v>
          </cell>
          <cell r="D59">
            <v>3.2261084781717257</v>
          </cell>
          <cell r="E59">
            <v>2.8210256242375409</v>
          </cell>
          <cell r="F59">
            <v>2.1849867996908245</v>
          </cell>
          <cell r="G59">
            <v>2.4818695104295316</v>
          </cell>
        </row>
        <row r="60">
          <cell r="A60" t="str">
            <v>14:Q1</v>
          </cell>
          <cell r="B60">
            <v>4.7993275563774782</v>
          </cell>
          <cell r="C60">
            <v>3.8375496783440251</v>
          </cell>
          <cell r="D60">
            <v>3.0110811680156511</v>
          </cell>
          <cell r="E60">
            <v>2.7543357272267732</v>
          </cell>
          <cell r="F60">
            <v>2.0567956541565264</v>
          </cell>
          <cell r="G60">
            <v>2.3173783835460946</v>
          </cell>
        </row>
        <row r="61">
          <cell r="A61" t="str">
            <v>14:Q2</v>
          </cell>
          <cell r="B61">
            <v>4.8946765445813858</v>
          </cell>
          <cell r="C61">
            <v>3.6803411580139063</v>
          </cell>
          <cell r="D61">
            <v>2.9651365222596353</v>
          </cell>
          <cell r="E61">
            <v>2.4967572847731998</v>
          </cell>
          <cell r="F61">
            <v>1.9098847702900663</v>
          </cell>
          <cell r="G61">
            <v>2.0548240831839322</v>
          </cell>
        </row>
        <row r="62">
          <cell r="A62" t="str">
            <v>14:Q3</v>
          </cell>
          <cell r="B62">
            <v>4.8946128860618456</v>
          </cell>
          <cell r="C62">
            <v>3.5245262050584634</v>
          </cell>
          <cell r="D62">
            <v>2.8587007005177392</v>
          </cell>
          <cell r="E62">
            <v>2.4016435676445571</v>
          </cell>
          <cell r="F62">
            <v>1.9034757858148232</v>
          </cell>
          <cell r="G62">
            <v>1.7719519511397701</v>
          </cell>
        </row>
        <row r="63">
          <cell r="A63" t="str">
            <v>14:Q4</v>
          </cell>
          <cell r="B63">
            <v>4.8266612844210348</v>
          </cell>
          <cell r="C63">
            <v>3.4928257641083489</v>
          </cell>
          <cell r="D63">
            <v>2.7921842098329508</v>
          </cell>
          <cell r="E63">
            <v>2.3053431839572029</v>
          </cell>
          <cell r="F63">
            <v>1.7666236152277131</v>
          </cell>
          <cell r="G63">
            <v>1.7567556523941665</v>
          </cell>
        </row>
        <row r="64">
          <cell r="A64" t="str">
            <v>15:Q1</v>
          </cell>
          <cell r="B64">
            <v>4.815626197233791</v>
          </cell>
          <cell r="C64">
            <v>3.395614114052087</v>
          </cell>
          <cell r="D64">
            <v>2.7544242993040209</v>
          </cell>
          <cell r="E64">
            <v>2.342448159680147</v>
          </cell>
          <cell r="F64">
            <v>1.4140252931976807</v>
          </cell>
          <cell r="G64">
            <v>1.677728122352026</v>
          </cell>
        </row>
        <row r="65">
          <cell r="A65" t="str">
            <v>15:Q2</v>
          </cell>
          <cell r="B65">
            <v>4.810312360557349</v>
          </cell>
          <cell r="C65">
            <v>3.4025450503145356</v>
          </cell>
          <cell r="D65">
            <v>2.7222962812479206</v>
          </cell>
          <cell r="E65">
            <v>2.3625491526712268</v>
          </cell>
          <cell r="F65">
            <v>1.3646004756794328</v>
          </cell>
          <cell r="G65">
            <v>1.7386058860221587</v>
          </cell>
        </row>
        <row r="66">
          <cell r="A66" t="str">
            <v>15:Q3</v>
          </cell>
          <cell r="B66">
            <v>4.8689325319526837</v>
          </cell>
          <cell r="C66">
            <v>3.4064319508156098</v>
          </cell>
          <cell r="D66">
            <v>2.6144609632132001</v>
          </cell>
          <cell r="E66">
            <v>2.3847390106819804</v>
          </cell>
          <cell r="F66">
            <v>1.3056387587509857</v>
          </cell>
          <cell r="G66">
            <v>1.9333086556274133</v>
          </cell>
        </row>
        <row r="67">
          <cell r="A67" t="str">
            <v>15:Q4</v>
          </cell>
          <cell r="B67">
            <v>4.9881686712714615</v>
          </cell>
          <cell r="C67">
            <v>3.2730347666871156</v>
          </cell>
          <cell r="D67">
            <v>2.7204093017049411</v>
          </cell>
          <cell r="E67">
            <v>2.1772810880797344</v>
          </cell>
          <cell r="F67">
            <v>1.2387501713628104</v>
          </cell>
          <cell r="G67">
            <v>1.7540762506339711</v>
          </cell>
        </row>
        <row r="68">
          <cell r="A68" t="str">
            <v>16:Q1</v>
          </cell>
          <cell r="B68">
            <v>4.9087316351579959</v>
          </cell>
          <cell r="C68">
            <v>3.1929440128489581</v>
          </cell>
          <cell r="D68">
            <v>2.6649691138459741</v>
          </cell>
          <cell r="E68">
            <v>2.0500114448692095</v>
          </cell>
          <cell r="F68">
            <v>1.3578938855021032</v>
          </cell>
          <cell r="G68">
            <v>1.6718097323758956</v>
          </cell>
        </row>
        <row r="69">
          <cell r="A69" t="str">
            <v>16:Q2</v>
          </cell>
          <cell r="B69">
            <v>4.9627011629931692</v>
          </cell>
          <cell r="C69">
            <v>3.0667897830527568</v>
          </cell>
          <cell r="D69">
            <v>2.4402659324015992</v>
          </cell>
          <cell r="E69">
            <v>2.040429930917794</v>
          </cell>
          <cell r="F69">
            <v>1.3417400075289905</v>
          </cell>
          <cell r="G69">
            <v>1.557110459095467</v>
          </cell>
        </row>
        <row r="70">
          <cell r="A70" t="str">
            <v>16:Q3</v>
          </cell>
          <cell r="B70">
            <v>4.9224359455451125</v>
          </cell>
          <cell r="C70">
            <v>2.9202697439520726</v>
          </cell>
          <cell r="D70">
            <v>2.4412170260688977</v>
          </cell>
          <cell r="E70">
            <v>1.9669816120707024</v>
          </cell>
          <cell r="F70">
            <v>1.3709690533198684</v>
          </cell>
          <cell r="G70">
            <v>1.3374064495935649</v>
          </cell>
        </row>
        <row r="71">
          <cell r="A71" t="str">
            <v>16:Q4</v>
          </cell>
          <cell r="B71">
            <v>4.9355660253537668</v>
          </cell>
          <cell r="C71">
            <v>2.8519828309466981</v>
          </cell>
          <cell r="D71">
            <v>2.3360310614922404</v>
          </cell>
          <cell r="E71">
            <v>2.1075460423560579</v>
          </cell>
          <cell r="F71">
            <v>1.5182049126849924</v>
          </cell>
          <cell r="G71">
            <v>1.4533137396062989</v>
          </cell>
        </row>
        <row r="72">
          <cell r="A72" t="str">
            <v>17:Q1</v>
          </cell>
          <cell r="B72">
            <v>4.9503779347335559</v>
          </cell>
          <cell r="C72">
            <v>2.941490310392183</v>
          </cell>
          <cell r="D72">
            <v>2.3442345513597118</v>
          </cell>
          <cell r="E72">
            <v>2.0821848868868877</v>
          </cell>
          <cell r="F72">
            <v>1.5283433522784613</v>
          </cell>
          <cell r="G72">
            <v>1.4765556544800826</v>
          </cell>
        </row>
        <row r="73">
          <cell r="A73" t="str">
            <v>17:Q2</v>
          </cell>
          <cell r="B73">
            <v>4.8682630424449638</v>
          </cell>
          <cell r="C73">
            <v>3.0211017633491668</v>
          </cell>
          <cell r="D73">
            <v>2.4046070962095905</v>
          </cell>
          <cell r="E73">
            <v>2.0937721120513872</v>
          </cell>
          <cell r="F73">
            <v>1.5060648415876063</v>
          </cell>
          <cell r="G73">
            <v>1.6072885922829492</v>
          </cell>
        </row>
        <row r="74">
          <cell r="A74" t="str">
            <v>17:Q3</v>
          </cell>
          <cell r="B74">
            <v>4.8964429491752828</v>
          </cell>
          <cell r="C74">
            <v>3.0799220002375587</v>
          </cell>
          <cell r="D74">
            <v>2.464860162923014</v>
          </cell>
          <cell r="E74">
            <v>2.0452664964445448</v>
          </cell>
          <cell r="F74">
            <v>1.4976791169640409</v>
          </cell>
          <cell r="G74">
            <v>1.5985360565826188</v>
          </cell>
        </row>
        <row r="75">
          <cell r="A75" t="str">
            <v>17:Q4</v>
          </cell>
          <cell r="B75">
            <v>4.6208088494853365</v>
          </cell>
          <cell r="C75">
            <v>2.9552742033904735</v>
          </cell>
          <cell r="D75">
            <v>2.4286938895258139</v>
          </cell>
          <cell r="E75">
            <v>1.9249683089567255</v>
          </cell>
          <cell r="F75">
            <v>1.4594897181021276</v>
          </cell>
          <cell r="G75">
            <v>1.4580401861778556</v>
          </cell>
        </row>
        <row r="76">
          <cell r="A76" t="str">
            <v>18:Q1</v>
          </cell>
          <cell r="B76">
            <v>4.5518340733137128</v>
          </cell>
          <cell r="C76">
            <v>2.8385273754957474</v>
          </cell>
          <cell r="D76">
            <v>2.3794392025753299</v>
          </cell>
          <cell r="E76">
            <v>1.9168870087002798</v>
          </cell>
          <cell r="F76">
            <v>1.461312518875544</v>
          </cell>
          <cell r="G76">
            <v>1.5848733931963794</v>
          </cell>
        </row>
        <row r="77">
          <cell r="A77" t="str">
            <v>18:Q2</v>
          </cell>
          <cell r="B77">
            <v>4.3735253643667154</v>
          </cell>
          <cell r="C77">
            <v>2.8484002584028252</v>
          </cell>
          <cell r="D77">
            <v>2.381775687739661</v>
          </cell>
          <cell r="E77">
            <v>1.9864192052305818</v>
          </cell>
          <cell r="F77">
            <v>1.5461946383275686</v>
          </cell>
          <cell r="G77">
            <v>1.6031267490622021</v>
          </cell>
        </row>
        <row r="78">
          <cell r="A78" t="str">
            <v>18:Q3</v>
          </cell>
          <cell r="B78">
            <v>4.4134441235986195</v>
          </cell>
          <cell r="C78">
            <v>2.9038848046067574</v>
          </cell>
          <cell r="D78">
            <v>2.3754501301988453</v>
          </cell>
          <cell r="E78">
            <v>2.092409912494813</v>
          </cell>
          <cell r="F78">
            <v>1.5269112982732953</v>
          </cell>
          <cell r="G78">
            <v>1.7504595510091321</v>
          </cell>
        </row>
        <row r="79">
          <cell r="A79" t="str">
            <v>18:Q4</v>
          </cell>
          <cell r="B79">
            <v>4.3460684635629399</v>
          </cell>
          <cell r="C79">
            <v>2.9371780864970538</v>
          </cell>
          <cell r="D79">
            <v>2.3126826085239438</v>
          </cell>
          <cell r="E79">
            <v>2.1807727770204686</v>
          </cell>
          <cell r="F79">
            <v>1.4393847802896955</v>
          </cell>
          <cell r="G79">
            <v>1.8176470747766442</v>
          </cell>
        </row>
        <row r="80">
          <cell r="A80" t="str">
            <v>19:Q1</v>
          </cell>
          <cell r="B80">
            <v>4.4098471203539971</v>
          </cell>
          <cell r="C80">
            <v>2.9910763296936329</v>
          </cell>
          <cell r="D80">
            <v>2.2869791934072303</v>
          </cell>
          <cell r="E80">
            <v>2.1530957797225616</v>
          </cell>
          <cell r="F80">
            <v>1.4745351155698168</v>
          </cell>
          <cell r="G80">
            <v>1.5688076833918516</v>
          </cell>
        </row>
        <row r="81">
          <cell r="A81" t="str">
            <v>19:Q2</v>
          </cell>
          <cell r="B81">
            <v>4.4364349444764475</v>
          </cell>
          <cell r="C81">
            <v>3.0038998311315956</v>
          </cell>
          <cell r="D81">
            <v>2.4100974779829363</v>
          </cell>
          <cell r="E81">
            <v>2.0753768100515932</v>
          </cell>
          <cell r="F81">
            <v>1.4445658401897294</v>
          </cell>
          <cell r="G81">
            <v>1.4902802199521072</v>
          </cell>
        </row>
        <row r="82">
          <cell r="A82" t="str">
            <v>19:Q3</v>
          </cell>
          <cell r="B82">
            <v>4.1920058468705541</v>
          </cell>
          <cell r="C82">
            <v>2.765879932121563</v>
          </cell>
          <cell r="D82">
            <v>2.3646648993589472</v>
          </cell>
          <cell r="E82">
            <v>2.0461207107719708</v>
          </cell>
          <cell r="F82">
            <v>1.4193295782947293</v>
          </cell>
          <cell r="G82">
            <v>1.3198826463364357</v>
          </cell>
        </row>
        <row r="83">
          <cell r="A83" t="str">
            <v>19:Q4</v>
          </cell>
          <cell r="B83">
            <v>4.297306372630973</v>
          </cell>
          <cell r="C83">
            <v>2.772495911601272</v>
          </cell>
          <cell r="D83">
            <v>2.4727808404571188</v>
          </cell>
          <cell r="E83">
            <v>2.064088245704677</v>
          </cell>
          <cell r="F83">
            <v>1.5583310478464947</v>
          </cell>
          <cell r="G83">
            <v>1.6380951219491062</v>
          </cell>
        </row>
        <row r="84">
          <cell r="A84" t="str">
            <v>20:Q1</v>
          </cell>
          <cell r="B84">
            <v>4.0852877880588343</v>
          </cell>
          <cell r="C84">
            <v>2.7283845878474349</v>
          </cell>
          <cell r="D84">
            <v>2.5382074124443577</v>
          </cell>
          <cell r="E84">
            <v>2.1104047880041286</v>
          </cell>
          <cell r="F84">
            <v>1.5786015654921368</v>
          </cell>
          <cell r="G84">
            <v>1.8118161566226081</v>
          </cell>
        </row>
        <row r="85">
          <cell r="A85" t="str">
            <v>20:Q2</v>
          </cell>
          <cell r="B85">
            <v>3.3132260222339198</v>
          </cell>
          <cell r="C85">
            <v>2.2437288006292055</v>
          </cell>
          <cell r="D85">
            <v>2.1310434011130703</v>
          </cell>
          <cell r="E85">
            <v>1.916696543567644</v>
          </cell>
          <cell r="F85">
            <v>1.4451864929360698</v>
          </cell>
          <cell r="G85">
            <v>1.6742946524344369</v>
          </cell>
        </row>
        <row r="86">
          <cell r="A86" t="str">
            <v>20:Q3</v>
          </cell>
          <cell r="B86">
            <v>2.5015598711224363</v>
          </cell>
          <cell r="C86">
            <v>1.804928575669809</v>
          </cell>
          <cell r="D86">
            <v>1.7599271776250776</v>
          </cell>
          <cell r="E86">
            <v>1.6113488195623415</v>
          </cell>
          <cell r="F86">
            <v>1.2818772217924224</v>
          </cell>
          <cell r="G86">
            <v>1.5997461577524918</v>
          </cell>
        </row>
        <row r="87">
          <cell r="A87" t="str">
            <v>20:Q4</v>
          </cell>
          <cell r="B87">
            <v>1.6176175116860858</v>
          </cell>
          <cell r="C87">
            <v>1.2906157238168423</v>
          </cell>
          <cell r="D87">
            <v>1.2850733282932982</v>
          </cell>
          <cell r="E87">
            <v>1.2435079139588763</v>
          </cell>
          <cell r="F87">
            <v>1.0111051874797863</v>
          </cell>
          <cell r="G87">
            <v>1.112084117185159</v>
          </cell>
        </row>
        <row r="88">
          <cell r="A88" t="str">
            <v>21:Q1</v>
          </cell>
          <cell r="B88">
            <v>1.1203166711923378</v>
          </cell>
          <cell r="C88">
            <v>0.80817111231298344</v>
          </cell>
          <cell r="D88">
            <v>0.88234256820832258</v>
          </cell>
          <cell r="E88">
            <v>0.89159051827599378</v>
          </cell>
          <cell r="F88">
            <v>0.73553849481181255</v>
          </cell>
          <cell r="G88">
            <v>0.84113852126752287</v>
          </cell>
        </row>
        <row r="89">
          <cell r="A89" t="str">
            <v>21:Q2</v>
          </cell>
          <cell r="B89">
            <v>0.97291918586005799</v>
          </cell>
          <cell r="C89">
            <v>0.70915900542853605</v>
          </cell>
          <cell r="D89">
            <v>0.78724404101341205</v>
          </cell>
          <cell r="E89">
            <v>0.72492009510276301</v>
          </cell>
          <cell r="F89">
            <v>0.68966111016859799</v>
          </cell>
          <cell r="G89">
            <v>0.72225712082187699</v>
          </cell>
        </row>
        <row r="90">
          <cell r="A90" t="str">
            <v>21:Q3</v>
          </cell>
          <cell r="B90">
            <v>0.9844912451554173</v>
          </cell>
          <cell r="C90">
            <v>0.66052899640202334</v>
          </cell>
          <cell r="D90">
            <v>0.73020917703041155</v>
          </cell>
          <cell r="E90">
            <v>0.65897706592666838</v>
          </cell>
          <cell r="F90">
            <v>0.64333264952062763</v>
          </cell>
          <cell r="G90">
            <v>0.63058351293901804</v>
          </cell>
        </row>
        <row r="91">
          <cell r="A91" t="str">
            <v>21:Q4</v>
          </cell>
          <cell r="B91">
            <v>1.0255099488539048</v>
          </cell>
          <cell r="C91">
            <v>0.67237561994828343</v>
          </cell>
          <cell r="D91">
            <v>0.74588265515499153</v>
          </cell>
          <cell r="E91">
            <v>0.59800392573288197</v>
          </cell>
          <cell r="F91">
            <v>0.65140274795382269</v>
          </cell>
          <cell r="G91">
            <v>0.62072759948930079</v>
          </cell>
        </row>
        <row r="92">
          <cell r="A92" t="str">
            <v>22:Q1</v>
          </cell>
          <cell r="B92">
            <v>1.07</v>
          </cell>
          <cell r="C92">
            <v>0.71</v>
          </cell>
          <cell r="D92">
            <v>0.76</v>
          </cell>
          <cell r="E92">
            <v>0.6</v>
          </cell>
          <cell r="F92">
            <v>0.66</v>
          </cell>
          <cell r="G92">
            <v>0.72</v>
          </cell>
        </row>
        <row r="93">
          <cell r="A93" t="str">
            <v>22:Q2</v>
          </cell>
          <cell r="B93">
            <v>1.3207897797611654</v>
          </cell>
          <cell r="C93">
            <v>0.86486793589023625</v>
          </cell>
          <cell r="D93">
            <v>0.88590376677663352</v>
          </cell>
          <cell r="E93">
            <v>0.70453499661331032</v>
          </cell>
          <cell r="F93">
            <v>0.69297518472409714</v>
          </cell>
          <cell r="G93">
            <v>0.8134835912654258</v>
          </cell>
        </row>
        <row r="94">
          <cell r="A94" t="str">
            <v>22:Q3</v>
          </cell>
          <cell r="B94">
            <v>1.5029534186213849</v>
          </cell>
          <cell r="C94">
            <v>0.97263566941962731</v>
          </cell>
          <cell r="D94">
            <v>1.032001662145797</v>
          </cell>
          <cell r="E94">
            <v>0.77578508020054171</v>
          </cell>
          <cell r="F94">
            <v>0.72210367427233602</v>
          </cell>
          <cell r="G94">
            <v>0.93132094727525938</v>
          </cell>
        </row>
        <row r="95">
          <cell r="A95" t="str">
            <v>22:Q4</v>
          </cell>
          <cell r="B95">
            <v>1.6834532086323171</v>
          </cell>
          <cell r="C95">
            <v>1.1410778040120968</v>
          </cell>
          <cell r="D95">
            <v>1.0987972940286084</v>
          </cell>
          <cell r="E95">
            <v>0.83751539240510509</v>
          </cell>
          <cell r="F95">
            <v>0.780003160272697</v>
          </cell>
          <cell r="G95">
            <v>0.91061177491451906</v>
          </cell>
        </row>
        <row r="96">
          <cell r="A96" t="str">
            <v>23:Q1</v>
          </cell>
          <cell r="B96">
            <v>1.8663390267051927</v>
          </cell>
          <cell r="C96">
            <v>1.2218240194430352</v>
          </cell>
          <cell r="D96">
            <v>1.1366084182680056</v>
          </cell>
          <cell r="E96">
            <v>0.88820598025992559</v>
          </cell>
          <cell r="F96">
            <v>0.77440563341806279</v>
          </cell>
          <cell r="G96">
            <v>0.98960298148761772</v>
          </cell>
        </row>
        <row r="97">
          <cell r="A97" t="str">
            <v>23:Q2</v>
          </cell>
          <cell r="B97">
            <v>1.9375786707584637</v>
          </cell>
          <cell r="C97">
            <v>1.2862623334036281</v>
          </cell>
          <cell r="D97">
            <v>1.2308708684368925</v>
          </cell>
          <cell r="E97">
            <v>0.93484741389082604</v>
          </cell>
          <cell r="F97">
            <v>0.8383290266048391</v>
          </cell>
          <cell r="G97">
            <v>1.0748199805658867</v>
          </cell>
        </row>
        <row r="98">
          <cell r="A98" t="str">
            <v>23:Q3</v>
          </cell>
          <cell r="B98">
            <v>2.061157622952174</v>
          </cell>
          <cell r="C98">
            <v>1.4684534221264183</v>
          </cell>
          <cell r="D98">
            <v>1.331915400370792</v>
          </cell>
          <cell r="E98">
            <v>1.0947054091016732</v>
          </cell>
          <cell r="F98">
            <v>0.91965146693520439</v>
          </cell>
          <cell r="G98">
            <v>1.1137723798799335</v>
          </cell>
        </row>
        <row r="99">
          <cell r="A99" t="str">
            <v>23:Q4</v>
          </cell>
          <cell r="B99">
            <v>2.2680983480918946</v>
          </cell>
          <cell r="C99">
            <v>1.5315618714683856</v>
          </cell>
          <cell r="D99">
            <v>1.4141787490057278</v>
          </cell>
          <cell r="E99">
            <v>1.3003493101415922</v>
          </cell>
          <cell r="F99">
            <v>0.98344679323660211</v>
          </cell>
          <cell r="G99">
            <v>1.3222769582691942</v>
          </cell>
        </row>
        <row r="100">
          <cell r="A100" t="str">
            <v>24:Q1</v>
          </cell>
          <cell r="B100">
            <v>2.3574966035504157</v>
          </cell>
          <cell r="C100">
            <v>1.6503314749862725</v>
          </cell>
          <cell r="D100">
            <v>1.6137969059166719</v>
          </cell>
          <cell r="E100">
            <v>1.4812291908140551</v>
          </cell>
          <cell r="F100">
            <v>1.0345617744376283</v>
          </cell>
          <cell r="G100">
            <v>1.2820169972378757</v>
          </cell>
        </row>
        <row r="101">
          <cell r="A101" t="str">
            <v>24:Q2</v>
          </cell>
          <cell r="B101">
            <v>2.3432866711051115</v>
          </cell>
          <cell r="C101">
            <v>1.7533544243579124</v>
          </cell>
          <cell r="D101">
            <v>1.633860156650591</v>
          </cell>
          <cell r="E101">
            <v>1.6191616104813371</v>
          </cell>
          <cell r="F101">
            <v>1.0890287806319185</v>
          </cell>
          <cell r="G101">
            <v>1.2361665811623326</v>
          </cell>
        </row>
        <row r="102">
          <cell r="A102" t="str">
            <v>24:Q3</v>
          </cell>
          <cell r="B102">
            <v>2.404169385388562</v>
          </cell>
          <cell r="C102">
            <v>1.8269950148921572</v>
          </cell>
          <cell r="D102">
            <v>1.7437983228517882</v>
          </cell>
          <cell r="E102">
            <v>1.7689119781784484</v>
          </cell>
          <cell r="F102">
            <v>1.1403352480966733</v>
          </cell>
          <cell r="G102">
            <v>1.2681431675989285</v>
          </cell>
        </row>
        <row r="103">
          <cell r="A103" t="str">
            <v>24:Q4</v>
          </cell>
          <cell r="B103">
            <v>2.3476646179127356</v>
          </cell>
          <cell r="C103">
            <v>1.8711380545263354</v>
          </cell>
          <cell r="D103">
            <v>1.7978005134322919</v>
          </cell>
          <cell r="E103">
            <v>1.7766627803204749</v>
          </cell>
          <cell r="F103">
            <v>1.1320653250818726</v>
          </cell>
          <cell r="G103">
            <v>1.2986644108899166</v>
          </cell>
        </row>
        <row r="104">
          <cell r="A104" t="str">
            <v>25:Q1</v>
          </cell>
          <cell r="B104">
            <v>3.3490400199403942</v>
          </cell>
          <cell r="C104">
            <v>2.9729888223288885</v>
          </cell>
          <cell r="D104">
            <v>2.4146584391371269</v>
          </cell>
          <cell r="E104">
            <v>2.4694458357245521</v>
          </cell>
          <cell r="F104">
            <v>1.7241975158026737</v>
          </cell>
          <cell r="G104">
            <v>1.690674976926259</v>
          </cell>
        </row>
        <row r="105">
          <cell r="A105" t="str">
            <v>25:Q2</v>
          </cell>
          <cell r="B105">
            <v>4.5801614979146779</v>
          </cell>
          <cell r="C105">
            <v>3.492158098452617</v>
          </cell>
          <cell r="D105">
            <v>2.8765119754409767</v>
          </cell>
          <cell r="E105">
            <v>2.8575510892703404</v>
          </cell>
          <cell r="F105">
            <v>2.0629681333707595</v>
          </cell>
          <cell r="G105">
            <v>1.9335331009480112</v>
          </cell>
        </row>
        <row r="106">
          <cell r="A106" t="str">
            <v>25:Q3</v>
          </cell>
          <cell r="B106">
            <v>4.9530213591856294</v>
          </cell>
          <cell r="C106">
            <v>3.7214990348814334</v>
          </cell>
          <cell r="D106">
            <v>2.9865828717621485</v>
          </cell>
          <cell r="E106">
            <v>2.8065756386077787</v>
          </cell>
          <cell r="F106">
            <v>2.172809733776937</v>
          </cell>
          <cell r="G106">
            <v>2.1321737025631062</v>
          </cell>
        </row>
        <row r="107">
          <cell r="A107" t="str">
            <v>25:Q4</v>
          </cell>
          <cell r="B107">
            <v>5.3382028836460886</v>
          </cell>
          <cell r="C107">
            <v>3.9396199426538803</v>
          </cell>
          <cell r="D107">
            <v>3.1939111770318251</v>
          </cell>
          <cell r="E107">
            <v>3.1289115794167577</v>
          </cell>
          <cell r="F107">
            <v>2.3667468241792502</v>
          </cell>
          <cell r="G107">
            <v>2.1372694868301716</v>
          </cell>
        </row>
        <row r="108">
          <cell r="A108" t="str">
            <v>26:Q1</v>
          </cell>
          <cell r="B108">
            <v>4.7280362503552658</v>
          </cell>
          <cell r="C108">
            <v>3.2625128358661826</v>
          </cell>
          <cell r="D108">
            <v>2.8464517523140902</v>
          </cell>
          <cell r="E108">
            <v>2.8047571844837678</v>
          </cell>
          <cell r="F108">
            <v>1.9866905467038656</v>
          </cell>
          <cell r="G108">
            <v>1.905186019964096</v>
          </cell>
        </row>
      </sheetData>
      <sheetData sheetId="42" refreshError="1"/>
      <sheetData sheetId="43">
        <row r="1">
          <cell r="A1" t="str">
            <v>Transition into Serious Delinquency (90+) for Mortgages by Age</v>
          </cell>
        </row>
        <row r="2">
          <cell r="A2" t="str">
            <v>Percent</v>
          </cell>
        </row>
        <row r="3">
          <cell r="A3" t="str">
            <v>quarter</v>
          </cell>
          <cell r="B3" t="str">
            <v>18-29</v>
          </cell>
          <cell r="C3" t="str">
            <v>30-39</v>
          </cell>
          <cell r="D3" t="str">
            <v>40-49</v>
          </cell>
          <cell r="E3" t="str">
            <v>50-59</v>
          </cell>
          <cell r="F3" t="str">
            <v>60-69</v>
          </cell>
          <cell r="G3" t="str">
            <v>70+</v>
          </cell>
          <cell r="H3" t="str">
            <v>all</v>
          </cell>
        </row>
        <row r="4">
          <cell r="A4" t="str">
            <v>00:Q1</v>
          </cell>
          <cell r="B4">
            <v>1.9207055931506585</v>
          </cell>
          <cell r="C4">
            <v>1.2331355977909435</v>
          </cell>
          <cell r="D4">
            <v>1.019235723278713</v>
          </cell>
          <cell r="E4">
            <v>0.92528380441587554</v>
          </cell>
          <cell r="F4">
            <v>0.40993202928989497</v>
          </cell>
          <cell r="G4">
            <v>0.84674308566713097</v>
          </cell>
          <cell r="H4">
            <v>1.0660502280306301</v>
          </cell>
        </row>
        <row r="5">
          <cell r="A5" t="str">
            <v>00:Q2</v>
          </cell>
          <cell r="B5">
            <v>2.0503604530217023</v>
          </cell>
          <cell r="C5">
            <v>1.1944916383221327</v>
          </cell>
          <cell r="D5">
            <v>0.97004428073477111</v>
          </cell>
          <cell r="E5">
            <v>0.924425853078222</v>
          </cell>
          <cell r="F5">
            <v>0.44219643632462008</v>
          </cell>
          <cell r="G5">
            <v>1.1249116118831306</v>
          </cell>
          <cell r="H5">
            <v>1.0596718380832051</v>
          </cell>
        </row>
        <row r="6">
          <cell r="A6" t="str">
            <v>00:Q3</v>
          </cell>
          <cell r="B6">
            <v>1.6701006797809022</v>
          </cell>
          <cell r="C6">
            <v>1.2063515652992161</v>
          </cell>
          <cell r="D6">
            <v>0.92910175034650844</v>
          </cell>
          <cell r="E6">
            <v>0.81100334706952615</v>
          </cell>
          <cell r="F6">
            <v>0.47620065610190132</v>
          </cell>
          <cell r="G6">
            <v>1.1050289720002462</v>
          </cell>
          <cell r="H6">
            <v>1.007456693301261</v>
          </cell>
        </row>
        <row r="7">
          <cell r="A7" t="str">
            <v>00:Q4</v>
          </cell>
          <cell r="B7">
            <v>1.7665851464798736</v>
          </cell>
          <cell r="C7">
            <v>1.3336850819115584</v>
          </cell>
          <cell r="D7">
            <v>1.1321606222227705</v>
          </cell>
          <cell r="E7">
            <v>0.89517453827296745</v>
          </cell>
          <cell r="F7">
            <v>0.45055876231739439</v>
          </cell>
          <cell r="G7">
            <v>1.2742142760320647</v>
          </cell>
          <cell r="H7">
            <v>1.1322802561954171</v>
          </cell>
        </row>
        <row r="8">
          <cell r="A8" t="str">
            <v>01:Q1</v>
          </cell>
          <cell r="B8">
            <v>2.0663635103523261</v>
          </cell>
          <cell r="C8">
            <v>1.3220619988871571</v>
          </cell>
          <cell r="D8">
            <v>1.1757350797223221</v>
          </cell>
          <cell r="E8">
            <v>0.96105898749960916</v>
          </cell>
          <cell r="F8">
            <v>0.60294355488000173</v>
          </cell>
          <cell r="G8">
            <v>1.319900272174509</v>
          </cell>
          <cell r="H8">
            <v>1.1813403591472857</v>
          </cell>
        </row>
        <row r="9">
          <cell r="A9" t="str">
            <v>01:Q2</v>
          </cell>
          <cell r="B9">
            <v>2.1140448896967436</v>
          </cell>
          <cell r="C9">
            <v>1.4528536712261142</v>
          </cell>
          <cell r="D9">
            <v>1.3386772555952517</v>
          </cell>
          <cell r="E9">
            <v>0.93753468637658333</v>
          </cell>
          <cell r="F9">
            <v>0.60185205283433774</v>
          </cell>
          <cell r="G9">
            <v>1.1448739765349509</v>
          </cell>
          <cell r="H9">
            <v>1.2562641473708756</v>
          </cell>
        </row>
        <row r="10">
          <cell r="A10" t="str">
            <v>01:Q3</v>
          </cell>
          <cell r="B10">
            <v>2.7828410240014936</v>
          </cell>
          <cell r="C10">
            <v>1.6080452001922172</v>
          </cell>
          <cell r="D10">
            <v>1.3894316457047091</v>
          </cell>
          <cell r="E10">
            <v>1.0586675827147138</v>
          </cell>
          <cell r="F10">
            <v>0.68989091107448874</v>
          </cell>
          <cell r="G10">
            <v>1.1712838432045516</v>
          </cell>
          <cell r="H10">
            <v>1.3802280330543644</v>
          </cell>
        </row>
        <row r="11">
          <cell r="A11" t="str">
            <v>01:Q4</v>
          </cell>
          <cell r="B11">
            <v>3.0193867720822816</v>
          </cell>
          <cell r="C11">
            <v>1.6631835299170519</v>
          </cell>
          <cell r="D11">
            <v>1.3247908907845145</v>
          </cell>
          <cell r="E11">
            <v>1.118477037342843</v>
          </cell>
          <cell r="F11">
            <v>1.0312918735143994</v>
          </cell>
          <cell r="G11">
            <v>1.0005293858060584</v>
          </cell>
          <cell r="H11">
            <v>1.4132069231382192</v>
          </cell>
        </row>
        <row r="12">
          <cell r="A12" t="str">
            <v>02:Q1</v>
          </cell>
          <cell r="B12">
            <v>3.0763871347178631</v>
          </cell>
          <cell r="C12">
            <v>1.6272670554758315</v>
          </cell>
          <cell r="D12">
            <v>1.4470855443550454</v>
          </cell>
          <cell r="E12">
            <v>1.0822265170122529</v>
          </cell>
          <cell r="F12">
            <v>1.4148124183386848</v>
          </cell>
          <cell r="G12">
            <v>1.106602763689132</v>
          </cell>
          <cell r="H12">
            <v>1.4691641888435674</v>
          </cell>
        </row>
        <row r="13">
          <cell r="A13" t="str">
            <v>02:Q2</v>
          </cell>
          <cell r="B13">
            <v>2.8952705246811359</v>
          </cell>
          <cell r="C13">
            <v>1.5757010661084554</v>
          </cell>
          <cell r="D13">
            <v>1.3820743521795453</v>
          </cell>
          <cell r="E13">
            <v>1.1829082634389705</v>
          </cell>
          <cell r="F13">
            <v>1.4133340247365247</v>
          </cell>
          <cell r="G13">
            <v>0.91325510075924399</v>
          </cell>
          <cell r="H13">
            <v>1.4401530580293358</v>
          </cell>
        </row>
        <row r="14">
          <cell r="A14" t="str">
            <v>02:Q3</v>
          </cell>
          <cell r="B14">
            <v>2.671997397795792</v>
          </cell>
          <cell r="C14">
            <v>1.4835276246502254</v>
          </cell>
          <cell r="D14">
            <v>1.4381614445376623</v>
          </cell>
          <cell r="E14">
            <v>1.2096945692142893</v>
          </cell>
          <cell r="F14">
            <v>1.4801124253951072</v>
          </cell>
          <cell r="G14">
            <v>0.95601566304023278</v>
          </cell>
          <cell r="H14">
            <v>1.4373153209672518</v>
          </cell>
        </row>
        <row r="15">
          <cell r="A15" t="str">
            <v>02:Q4</v>
          </cell>
          <cell r="B15">
            <v>2.6595051999442574</v>
          </cell>
          <cell r="C15">
            <v>1.4056543430407351</v>
          </cell>
          <cell r="D15">
            <v>1.5642381556106422</v>
          </cell>
          <cell r="E15">
            <v>1.1680790433417914</v>
          </cell>
          <cell r="F15">
            <v>1.2045347538321325</v>
          </cell>
          <cell r="G15">
            <v>1.6036365673695239</v>
          </cell>
          <cell r="H15">
            <v>1.452523329124765</v>
          </cell>
        </row>
        <row r="16">
          <cell r="A16" t="str">
            <v>03:Q1</v>
          </cell>
          <cell r="B16">
            <v>2.7753533891873396</v>
          </cell>
          <cell r="C16">
            <v>1.4959558178376613</v>
          </cell>
          <cell r="D16">
            <v>1.4591099259388209</v>
          </cell>
          <cell r="E16">
            <v>1.2548380059252762</v>
          </cell>
          <cell r="F16">
            <v>0.76386612795666475</v>
          </cell>
          <cell r="G16">
            <v>1.7164995647504666</v>
          </cell>
          <cell r="H16">
            <v>1.4426620910269472</v>
          </cell>
        </row>
        <row r="17">
          <cell r="A17" t="str">
            <v>03:Q2</v>
          </cell>
          <cell r="B17">
            <v>2.824342093290086</v>
          </cell>
          <cell r="C17">
            <v>1.5874614619218248</v>
          </cell>
          <cell r="D17">
            <v>1.5144880596435564</v>
          </cell>
          <cell r="E17">
            <v>1.1911444669124738</v>
          </cell>
          <cell r="F17">
            <v>0.911434669441473</v>
          </cell>
          <cell r="G17">
            <v>1.972140487539404</v>
          </cell>
          <cell r="H17">
            <v>1.4982636174816557</v>
          </cell>
        </row>
        <row r="18">
          <cell r="A18" t="str">
            <v>03:Q3</v>
          </cell>
          <cell r="B18">
            <v>2.6329052671485402</v>
          </cell>
          <cell r="C18">
            <v>1.6551504204436702</v>
          </cell>
          <cell r="D18">
            <v>1.516832468380509</v>
          </cell>
          <cell r="E18">
            <v>1.1624688315036436</v>
          </cell>
          <cell r="F18">
            <v>0.92286188907417421</v>
          </cell>
          <cell r="G18">
            <v>1.9893189683089691</v>
          </cell>
          <cell r="H18">
            <v>1.5023981928812344</v>
          </cell>
        </row>
        <row r="19">
          <cell r="A19" t="str">
            <v>03:Q4</v>
          </cell>
          <cell r="B19">
            <v>2.6080333459317173</v>
          </cell>
          <cell r="C19">
            <v>1.6670588777821633</v>
          </cell>
          <cell r="D19">
            <v>1.3671560278834656</v>
          </cell>
          <cell r="E19">
            <v>1.1386738204575375</v>
          </cell>
          <cell r="F19">
            <v>0.97624857155595746</v>
          </cell>
          <cell r="G19">
            <v>1.7623013537245862</v>
          </cell>
          <cell r="H19">
            <v>1.4444348893458521</v>
          </cell>
        </row>
        <row r="20">
          <cell r="A20" t="str">
            <v>04:Q1</v>
          </cell>
          <cell r="B20">
            <v>2.0949431732532666</v>
          </cell>
          <cell r="C20">
            <v>1.5808763909327961</v>
          </cell>
          <cell r="D20">
            <v>1.349213264263269</v>
          </cell>
          <cell r="E20">
            <v>1.0149878079710133</v>
          </cell>
          <cell r="F20">
            <v>0.92944610676460893</v>
          </cell>
          <cell r="G20">
            <v>1.3723141889740338</v>
          </cell>
          <cell r="H20">
            <v>1.3373755641441412</v>
          </cell>
        </row>
        <row r="21">
          <cell r="A21" t="str">
            <v>04:Q2</v>
          </cell>
          <cell r="B21">
            <v>2.1367470371739814</v>
          </cell>
          <cell r="C21">
            <v>1.5238473852852807</v>
          </cell>
          <cell r="D21">
            <v>1.3348893466286333</v>
          </cell>
          <cell r="E21">
            <v>0.97368428655921035</v>
          </cell>
          <cell r="F21">
            <v>0.80217303516512106</v>
          </cell>
          <cell r="G21">
            <v>1.2959074585574024</v>
          </cell>
          <cell r="H21">
            <v>1.2936929582467247</v>
          </cell>
        </row>
        <row r="22">
          <cell r="A22" t="str">
            <v>04:Q3</v>
          </cell>
          <cell r="B22">
            <v>2.3020745962816105</v>
          </cell>
          <cell r="C22">
            <v>1.5399302288774037</v>
          </cell>
          <cell r="D22">
            <v>1.4155795270648839</v>
          </cell>
          <cell r="E22">
            <v>0.97654308058467609</v>
          </cell>
          <cell r="F22">
            <v>0.85491760415851492</v>
          </cell>
          <cell r="G22">
            <v>1.5373286760718623</v>
          </cell>
          <cell r="H22">
            <v>1.3448909375475244</v>
          </cell>
        </row>
        <row r="23">
          <cell r="A23" t="str">
            <v>04:Q4</v>
          </cell>
          <cell r="B23">
            <v>2.0880229967975201</v>
          </cell>
          <cell r="C23">
            <v>1.5921889593074798</v>
          </cell>
          <cell r="D23">
            <v>1.4298521288736872</v>
          </cell>
          <cell r="E23">
            <v>1.0597288258941593</v>
          </cell>
          <cell r="F23">
            <v>0.85700374514955502</v>
          </cell>
          <cell r="G23">
            <v>1.2959412975910582</v>
          </cell>
          <cell r="H23">
            <v>1.3600918030936584</v>
          </cell>
        </row>
        <row r="24">
          <cell r="A24" t="str">
            <v>05:Q1</v>
          </cell>
          <cell r="B24">
            <v>2.4112565058485509</v>
          </cell>
          <cell r="C24">
            <v>1.5642405330655382</v>
          </cell>
          <cell r="D24">
            <v>1.3228555352477829</v>
          </cell>
          <cell r="E24">
            <v>1.1317073955639589</v>
          </cell>
          <cell r="F24">
            <v>0.84594790984787904</v>
          </cell>
          <cell r="G24">
            <v>1.5732960903599484</v>
          </cell>
          <cell r="H24">
            <v>1.3599700694679606</v>
          </cell>
        </row>
        <row r="25">
          <cell r="A25" t="str">
            <v>05:Q2</v>
          </cell>
          <cell r="B25">
            <v>2.3092155764803408</v>
          </cell>
          <cell r="C25">
            <v>1.6491422220708958</v>
          </cell>
          <cell r="D25">
            <v>1.239090590323177</v>
          </cell>
          <cell r="E25">
            <v>1.1802914133479767</v>
          </cell>
          <cell r="F25">
            <v>0.95960970033162596</v>
          </cell>
          <cell r="G25">
            <v>1.5198992958932676</v>
          </cell>
          <cell r="H25">
            <v>1.3684298911835271</v>
          </cell>
        </row>
        <row r="26">
          <cell r="A26" t="str">
            <v>05:Q3</v>
          </cell>
          <cell r="B26">
            <v>2.0874600652284547</v>
          </cell>
          <cell r="C26">
            <v>1.6223836253254318</v>
          </cell>
          <cell r="D26">
            <v>1.1547111509922812</v>
          </cell>
          <cell r="E26">
            <v>1.1547889172891224</v>
          </cell>
          <cell r="F26">
            <v>0.81509084831070111</v>
          </cell>
          <cell r="G26">
            <v>1.6436816560500875</v>
          </cell>
          <cell r="H26">
            <v>1.3088875266625088</v>
          </cell>
        </row>
        <row r="27">
          <cell r="A27" t="str">
            <v>05:Q4</v>
          </cell>
          <cell r="B27">
            <v>2.1770132952755619</v>
          </cell>
          <cell r="C27">
            <v>1.600932841783145</v>
          </cell>
          <cell r="D27">
            <v>1.1363471464353283</v>
          </cell>
          <cell r="E27">
            <v>1.0573790365526246</v>
          </cell>
          <cell r="F27">
            <v>0.73649721708549098</v>
          </cell>
          <cell r="G27">
            <v>1.4385199864439735</v>
          </cell>
          <cell r="H27">
            <v>1.2695149657600966</v>
          </cell>
        </row>
        <row r="28">
          <cell r="A28" t="str">
            <v>06:Q1</v>
          </cell>
          <cell r="B28">
            <v>2.2307884193727192</v>
          </cell>
          <cell r="C28">
            <v>1.6860962773813633</v>
          </cell>
          <cell r="D28">
            <v>1.2301713714621128</v>
          </cell>
          <cell r="E28">
            <v>0.98160983608167474</v>
          </cell>
          <cell r="F28">
            <v>0.86783551404525228</v>
          </cell>
          <cell r="G28">
            <v>1.2908760336033231</v>
          </cell>
          <cell r="H28">
            <v>1.315812621052503</v>
          </cell>
        </row>
        <row r="29">
          <cell r="A29" t="str">
            <v>06:Q2</v>
          </cell>
          <cell r="B29">
            <v>2.3766658939075098</v>
          </cell>
          <cell r="C29">
            <v>1.6295984909012247</v>
          </cell>
          <cell r="D29">
            <v>1.2518308543063503</v>
          </cell>
          <cell r="E29">
            <v>0.97604950852581907</v>
          </cell>
          <cell r="F29">
            <v>0.787502556369026</v>
          </cell>
          <cell r="G29">
            <v>1.3144966843246533</v>
          </cell>
          <cell r="H29">
            <v>1.3064378634341411</v>
          </cell>
        </row>
        <row r="30">
          <cell r="A30" t="str">
            <v>06:Q3</v>
          </cell>
          <cell r="B30">
            <v>2.8465683586974593</v>
          </cell>
          <cell r="C30">
            <v>1.9677358482781009</v>
          </cell>
          <cell r="D30">
            <v>1.4251407965620833</v>
          </cell>
          <cell r="E30">
            <v>0.98128667603651254</v>
          </cell>
          <cell r="F30">
            <v>0.76007109096731529</v>
          </cell>
          <cell r="G30">
            <v>1.0536423866954607</v>
          </cell>
          <cell r="H30">
            <v>1.4582633349536491</v>
          </cell>
        </row>
        <row r="31">
          <cell r="A31" t="str">
            <v>06:Q4</v>
          </cell>
          <cell r="B31">
            <v>3.1876943527954933</v>
          </cell>
          <cell r="C31">
            <v>2.0408728766100808</v>
          </cell>
          <cell r="D31">
            <v>1.7293548437278112</v>
          </cell>
          <cell r="E31">
            <v>1.2515848271103038</v>
          </cell>
          <cell r="F31">
            <v>0.93632153403570717</v>
          </cell>
          <cell r="G31">
            <v>1.2110240739382592</v>
          </cell>
          <cell r="H31">
            <v>1.6789761863393271</v>
          </cell>
        </row>
        <row r="32">
          <cell r="A32" t="str">
            <v>07:Q1</v>
          </cell>
          <cell r="B32">
            <v>3.8727323302740606</v>
          </cell>
          <cell r="C32">
            <v>2.2626530676610828</v>
          </cell>
          <cell r="D32">
            <v>1.9312612929724775</v>
          </cell>
          <cell r="E32">
            <v>1.5458626239669804</v>
          </cell>
          <cell r="F32">
            <v>1.1206493526198502</v>
          </cell>
          <cell r="G32">
            <v>1.4496096241086442</v>
          </cell>
          <cell r="H32">
            <v>1.9371424888450526</v>
          </cell>
        </row>
        <row r="33">
          <cell r="A33" t="str">
            <v>07:Q2</v>
          </cell>
          <cell r="B33">
            <v>5.0162324480137324</v>
          </cell>
          <cell r="C33">
            <v>2.8170895670998286</v>
          </cell>
          <cell r="D33">
            <v>2.367891892199677</v>
          </cell>
          <cell r="E33">
            <v>1.8641855648080976</v>
          </cell>
          <cell r="F33">
            <v>1.4791339363253984</v>
          </cell>
          <cell r="G33">
            <v>2.0220468092617794</v>
          </cell>
          <cell r="H33">
            <v>2.4036992437997498</v>
          </cell>
        </row>
        <row r="34">
          <cell r="A34" t="str">
            <v>07:Q3</v>
          </cell>
          <cell r="B34">
            <v>5.2943685165482011</v>
          </cell>
          <cell r="C34">
            <v>3.4849285368519909</v>
          </cell>
          <cell r="D34">
            <v>2.7058983547483906</v>
          </cell>
          <cell r="E34">
            <v>2.3799832252477691</v>
          </cell>
          <cell r="F34">
            <v>2.0459114383970856</v>
          </cell>
          <cell r="G34">
            <v>2.6539105862268806</v>
          </cell>
          <cell r="H34">
            <v>2.8929671638998649</v>
          </cell>
        </row>
        <row r="35">
          <cell r="A35" t="str">
            <v>07:Q4</v>
          </cell>
          <cell r="B35">
            <v>6.6975156668394344</v>
          </cell>
          <cell r="C35">
            <v>4.7312843860979727</v>
          </cell>
          <cell r="D35">
            <v>3.5395308875655811</v>
          </cell>
          <cell r="E35">
            <v>2.7284646378975932</v>
          </cell>
          <cell r="F35">
            <v>2.5484021911765473</v>
          </cell>
          <cell r="G35">
            <v>2.8706421853452233</v>
          </cell>
          <cell r="H35">
            <v>3.681704653030264</v>
          </cell>
        </row>
        <row r="36">
          <cell r="A36" t="str">
            <v>08:Q1</v>
          </cell>
          <cell r="B36">
            <v>7.3383663952556271</v>
          </cell>
          <cell r="C36">
            <v>6.5299770102246688</v>
          </cell>
          <cell r="D36">
            <v>4.5383285127915158</v>
          </cell>
          <cell r="E36">
            <v>3.3110796680619963</v>
          </cell>
          <cell r="F36">
            <v>3.3451828364156082</v>
          </cell>
          <cell r="G36">
            <v>3.4222426639040826</v>
          </cell>
          <cell r="H36">
            <v>4.7125876509410327</v>
          </cell>
        </row>
        <row r="37">
          <cell r="A37" t="str">
            <v>08:Q2</v>
          </cell>
          <cell r="B37">
            <v>7.9718959667705827</v>
          </cell>
          <cell r="C37">
            <v>7.5161447586924748</v>
          </cell>
          <cell r="D37">
            <v>5.1330139839268023</v>
          </cell>
          <cell r="E37">
            <v>3.9701185079551631</v>
          </cell>
          <cell r="F37">
            <v>3.4944869918300014</v>
          </cell>
          <cell r="G37">
            <v>3.1979544899806527</v>
          </cell>
          <cell r="H37">
            <v>5.3220696182516534</v>
          </cell>
        </row>
        <row r="38">
          <cell r="A38" t="str">
            <v>08:Q3</v>
          </cell>
          <cell r="B38">
            <v>9.4670066538326321</v>
          </cell>
          <cell r="C38">
            <v>8.0400194277127763</v>
          </cell>
          <cell r="D38">
            <v>6.0727274902835786</v>
          </cell>
          <cell r="E38">
            <v>4.7889412489064833</v>
          </cell>
          <cell r="F38">
            <v>3.786423793851891</v>
          </cell>
          <cell r="G38">
            <v>3.2555981825105857</v>
          </cell>
          <cell r="H38">
            <v>6.0434540327384347</v>
          </cell>
        </row>
        <row r="39">
          <cell r="A39" t="str">
            <v>08:Q4</v>
          </cell>
          <cell r="B39">
            <v>10.173334006104145</v>
          </cell>
          <cell r="C39">
            <v>8.836958707832931</v>
          </cell>
          <cell r="D39">
            <v>6.6254337568321002</v>
          </cell>
          <cell r="E39">
            <v>5.3774012782678096</v>
          </cell>
          <cell r="F39">
            <v>4.170385251650587</v>
          </cell>
          <cell r="G39">
            <v>4.5522951700248528</v>
          </cell>
          <cell r="H39">
            <v>6.6540302499115782</v>
          </cell>
        </row>
        <row r="40">
          <cell r="A40" t="str">
            <v>09:Q1</v>
          </cell>
          <cell r="B40">
            <v>11.04469780096041</v>
          </cell>
          <cell r="C40">
            <v>9.0350568423298618</v>
          </cell>
          <cell r="D40">
            <v>7.6022166411848016</v>
          </cell>
          <cell r="E40">
            <v>6.5800436893526184</v>
          </cell>
          <cell r="F40">
            <v>4.5349518326896296</v>
          </cell>
          <cell r="G40">
            <v>4.9793699792461013</v>
          </cell>
          <cell r="H40">
            <v>7.3873307778825943</v>
          </cell>
        </row>
        <row r="41">
          <cell r="A41" t="str">
            <v>09:Q2</v>
          </cell>
          <cell r="B41">
            <v>11.636246479766895</v>
          </cell>
          <cell r="C41">
            <v>9.8020435555175389</v>
          </cell>
          <cell r="D41">
            <v>8.8321915678493923</v>
          </cell>
          <cell r="E41">
            <v>7.2017872446938194</v>
          </cell>
          <cell r="F41">
            <v>5.3422314439148462</v>
          </cell>
          <cell r="G41">
            <v>6.3790865259663239</v>
          </cell>
          <cell r="H41">
            <v>8.2617721655063363</v>
          </cell>
        </row>
        <row r="42">
          <cell r="A42" t="str">
            <v>09:Q3</v>
          </cell>
          <cell r="B42">
            <v>10.882753944159061</v>
          </cell>
          <cell r="C42">
            <v>10.063200580310927</v>
          </cell>
          <cell r="D42">
            <v>9.1334354273565896</v>
          </cell>
          <cell r="E42">
            <v>7.1125966022193925</v>
          </cell>
          <cell r="F42">
            <v>5.4628651202865139</v>
          </cell>
          <cell r="G42">
            <v>6.4279343323188218</v>
          </cell>
          <cell r="H42">
            <v>8.351362993673181</v>
          </cell>
        </row>
        <row r="43">
          <cell r="A43" t="str">
            <v>09:Q4</v>
          </cell>
          <cell r="B43">
            <v>10.021648089429345</v>
          </cell>
          <cell r="C43">
            <v>10.128976589021113</v>
          </cell>
          <cell r="D43">
            <v>9.0371292855991001</v>
          </cell>
          <cell r="E43">
            <v>7.3424880666365144</v>
          </cell>
          <cell r="F43">
            <v>5.4501056542808923</v>
          </cell>
          <cell r="G43">
            <v>5.9037597953834675</v>
          </cell>
          <cell r="H43">
            <v>8.3029398100282243</v>
          </cell>
        </row>
        <row r="44">
          <cell r="A44" t="str">
            <v>10:Q1</v>
          </cell>
          <cell r="B44">
            <v>8.8497293254896796</v>
          </cell>
          <cell r="C44">
            <v>9.4007664603992822</v>
          </cell>
          <cell r="D44">
            <v>8.2648974890365849</v>
          </cell>
          <cell r="E44">
            <v>7.1529128427477913</v>
          </cell>
          <cell r="F44">
            <v>4.9054486257804442</v>
          </cell>
          <cell r="G44">
            <v>5.5906730907233975</v>
          </cell>
          <cell r="H44">
            <v>7.6978940784699574</v>
          </cell>
        </row>
        <row r="45">
          <cell r="A45" t="str">
            <v>10:Q2</v>
          </cell>
          <cell r="B45">
            <v>7.0363803261953475</v>
          </cell>
          <cell r="C45">
            <v>8.3760454838713869</v>
          </cell>
          <cell r="D45">
            <v>7.5703742987823768</v>
          </cell>
          <cell r="E45">
            <v>6.681865948105588</v>
          </cell>
          <cell r="F45">
            <v>4.4181597906517531</v>
          </cell>
          <cell r="G45">
            <v>4.7426156422773573</v>
          </cell>
          <cell r="H45">
            <v>6.9551524524861925</v>
          </cell>
        </row>
        <row r="46">
          <cell r="A46" t="str">
            <v>10:Q3</v>
          </cell>
          <cell r="B46">
            <v>6.1629276325179356</v>
          </cell>
          <cell r="C46">
            <v>7.7985928126255351</v>
          </cell>
          <cell r="D46">
            <v>6.8612048788970341</v>
          </cell>
          <cell r="E46">
            <v>6.5701533687376701</v>
          </cell>
          <cell r="F46">
            <v>4.0600020839296018</v>
          </cell>
          <cell r="G46">
            <v>4.867878158276854</v>
          </cell>
          <cell r="H46">
            <v>6.4949344193834389</v>
          </cell>
        </row>
        <row r="47">
          <cell r="A47" t="str">
            <v>10:Q4</v>
          </cell>
          <cell r="B47">
            <v>4.9848332223353431</v>
          </cell>
          <cell r="C47">
            <v>6.605684492461525</v>
          </cell>
          <cell r="D47">
            <v>6.3271130043299024</v>
          </cell>
          <cell r="E47">
            <v>6.1379773384331289</v>
          </cell>
          <cell r="F47">
            <v>3.7622264928686691</v>
          </cell>
          <cell r="G47">
            <v>4.3644520734947134</v>
          </cell>
          <cell r="H47">
            <v>5.8374194062246536</v>
          </cell>
        </row>
        <row r="48">
          <cell r="A48" t="str">
            <v>11:Q1</v>
          </cell>
          <cell r="B48">
            <v>4.3215921475997421</v>
          </cell>
          <cell r="C48">
            <v>6.0048779042986666</v>
          </cell>
          <cell r="D48">
            <v>5.8880953682360477</v>
          </cell>
          <cell r="E48">
            <v>5.0511360087148685</v>
          </cell>
          <cell r="F48">
            <v>3.5645613200272832</v>
          </cell>
          <cell r="G48">
            <v>5.6832713145621661</v>
          </cell>
          <cell r="H48">
            <v>5.2938438210613716</v>
          </cell>
        </row>
        <row r="49">
          <cell r="A49" t="str">
            <v>11:Q2</v>
          </cell>
          <cell r="B49">
            <v>4.0286886472273613</v>
          </cell>
          <cell r="C49">
            <v>5.4538785099921867</v>
          </cell>
          <cell r="D49">
            <v>5.2715766012705032</v>
          </cell>
          <cell r="E49">
            <v>4.7975649920254106</v>
          </cell>
          <cell r="F49">
            <v>3.209794329853509</v>
          </cell>
          <cell r="G49">
            <v>4.9706403575743563</v>
          </cell>
          <cell r="H49">
            <v>4.8267389749293139</v>
          </cell>
        </row>
        <row r="50">
          <cell r="A50" t="str">
            <v>11:Q3</v>
          </cell>
          <cell r="B50">
            <v>3.5578962024815537</v>
          </cell>
          <cell r="C50">
            <v>5.1817234684372782</v>
          </cell>
          <cell r="D50">
            <v>5.2646019479284094</v>
          </cell>
          <cell r="E50">
            <v>4.2906979655402306</v>
          </cell>
          <cell r="F50">
            <v>3.5497305683123188</v>
          </cell>
          <cell r="G50">
            <v>4.540314732853215</v>
          </cell>
          <cell r="H50">
            <v>4.6428950496176267</v>
          </cell>
        </row>
        <row r="51">
          <cell r="A51" t="str">
            <v>11:Q4</v>
          </cell>
          <cell r="B51">
            <v>3.5874042140708204</v>
          </cell>
          <cell r="C51">
            <v>5.1183727119372548</v>
          </cell>
          <cell r="D51">
            <v>5.1508999236297335</v>
          </cell>
          <cell r="E51">
            <v>4.2498917404435712</v>
          </cell>
          <cell r="F51">
            <v>3.4451639541772723</v>
          </cell>
          <cell r="G51">
            <v>4.8694307267684547</v>
          </cell>
          <cell r="H51">
            <v>4.5840323914645085</v>
          </cell>
        </row>
        <row r="52">
          <cell r="A52" t="str">
            <v>12:Q1</v>
          </cell>
          <cell r="B52">
            <v>3.4433124450937789</v>
          </cell>
          <cell r="C52">
            <v>4.8287344085284589</v>
          </cell>
          <cell r="D52">
            <v>4.9917558823279871</v>
          </cell>
          <cell r="E52">
            <v>4.2180493671724388</v>
          </cell>
          <cell r="F52">
            <v>3.611742760395098</v>
          </cell>
          <cell r="G52">
            <v>3.2119086928572891</v>
          </cell>
          <cell r="H52">
            <v>4.4086771125264237</v>
          </cell>
        </row>
        <row r="53">
          <cell r="A53" t="str">
            <v>12:Q2</v>
          </cell>
          <cell r="B53">
            <v>3.3031009771939117</v>
          </cell>
          <cell r="C53">
            <v>4.6673534686492255</v>
          </cell>
          <cell r="D53">
            <v>4.5858882603393436</v>
          </cell>
          <cell r="E53">
            <v>3.9593897539632961</v>
          </cell>
          <cell r="F53">
            <v>3.4895410054022467</v>
          </cell>
          <cell r="G53">
            <v>3.6525155302411147</v>
          </cell>
          <cell r="H53">
            <v>4.1828412874983973</v>
          </cell>
        </row>
        <row r="54">
          <cell r="A54" t="str">
            <v>12:Q3</v>
          </cell>
          <cell r="B54">
            <v>3.3983537983143859</v>
          </cell>
          <cell r="C54">
            <v>4.3698313616790605</v>
          </cell>
          <cell r="D54">
            <v>4.1122944798979262</v>
          </cell>
          <cell r="E54">
            <v>3.8494671359705022</v>
          </cell>
          <cell r="F54">
            <v>3.0533544641950581</v>
          </cell>
          <cell r="G54">
            <v>3.5013528453969678</v>
          </cell>
          <cell r="H54">
            <v>3.8770671061133561</v>
          </cell>
        </row>
        <row r="55">
          <cell r="A55" t="str">
            <v>12:Q4</v>
          </cell>
          <cell r="B55">
            <v>3.3558508420177851</v>
          </cell>
          <cell r="C55">
            <v>3.9253266045720379</v>
          </cell>
          <cell r="D55">
            <v>3.7035626648349402</v>
          </cell>
          <cell r="E55">
            <v>3.2991871071854209</v>
          </cell>
          <cell r="F55">
            <v>2.9887874874156917</v>
          </cell>
          <cell r="G55">
            <v>3.1088371753341089</v>
          </cell>
          <cell r="H55">
            <v>3.4845484282707115</v>
          </cell>
        </row>
        <row r="56">
          <cell r="A56" t="str">
            <v>13:Q1</v>
          </cell>
          <cell r="B56">
            <v>3.0616778034299013</v>
          </cell>
          <cell r="C56">
            <v>3.5562469424041407</v>
          </cell>
          <cell r="D56">
            <v>3.3978128438861956</v>
          </cell>
          <cell r="E56">
            <v>2.9174340091306434</v>
          </cell>
          <cell r="F56">
            <v>2.8091806208351189</v>
          </cell>
          <cell r="G56">
            <v>3.0135340988796462</v>
          </cell>
          <cell r="H56">
            <v>3.1752706313662178</v>
          </cell>
        </row>
        <row r="57">
          <cell r="A57" t="str">
            <v>13:Q2</v>
          </cell>
          <cell r="B57">
            <v>2.8627648540803512</v>
          </cell>
          <cell r="C57">
            <v>3.2547724712187942</v>
          </cell>
          <cell r="D57">
            <v>3.2394654515966845</v>
          </cell>
          <cell r="E57">
            <v>2.7542951809011651</v>
          </cell>
          <cell r="F57">
            <v>2.7413605054902508</v>
          </cell>
          <cell r="G57">
            <v>2.6987196286808133</v>
          </cell>
          <cell r="H57">
            <v>2.9917075182434871</v>
          </cell>
        </row>
        <row r="58">
          <cell r="A58" t="str">
            <v>13:Q3</v>
          </cell>
          <cell r="B58">
            <v>2.5060816786108298</v>
          </cell>
          <cell r="C58">
            <v>2.9613418571054191</v>
          </cell>
          <cell r="D58">
            <v>2.9684510469038061</v>
          </cell>
          <cell r="E58">
            <v>2.5567442966836138</v>
          </cell>
          <cell r="F58">
            <v>2.4492994413583715</v>
          </cell>
          <cell r="G58">
            <v>2.6345552981979452</v>
          </cell>
          <cell r="H58">
            <v>2.7403467083509652</v>
          </cell>
        </row>
        <row r="59">
          <cell r="A59" t="str">
            <v>13:Q4</v>
          </cell>
          <cell r="B59">
            <v>2.0408591201507496</v>
          </cell>
          <cell r="C59">
            <v>2.6899683268095096</v>
          </cell>
          <cell r="D59">
            <v>2.6972769215410941</v>
          </cell>
          <cell r="E59">
            <v>2.580239722778944</v>
          </cell>
          <cell r="F59">
            <v>2.1308285658286725</v>
          </cell>
          <cell r="G59">
            <v>2.4691185029564959</v>
          </cell>
          <cell r="H59">
            <v>2.538011933377577</v>
          </cell>
        </row>
        <row r="60">
          <cell r="A60" t="str">
            <v>14:Q1</v>
          </cell>
          <cell r="B60">
            <v>1.9077575033302929</v>
          </cell>
          <cell r="C60">
            <v>2.5032792483911477</v>
          </cell>
          <cell r="D60">
            <v>2.3751680234741039</v>
          </cell>
          <cell r="E60">
            <v>2.4943805543777851</v>
          </cell>
          <cell r="F60">
            <v>1.91086314313344</v>
          </cell>
          <cell r="G60">
            <v>2.1340264687707653</v>
          </cell>
          <cell r="H60">
            <v>2.3276364196103767</v>
          </cell>
        </row>
        <row r="61">
          <cell r="A61" t="str">
            <v>14:Q2</v>
          </cell>
          <cell r="B61">
            <v>1.7374038986016884</v>
          </cell>
          <cell r="C61">
            <v>2.2360343250075672</v>
          </cell>
          <cell r="D61">
            <v>2.2930375155909712</v>
          </cell>
          <cell r="E61">
            <v>2.145779300121943</v>
          </cell>
          <cell r="F61">
            <v>1.7527209812909159</v>
          </cell>
          <cell r="G61">
            <v>1.8207991725750858</v>
          </cell>
          <cell r="H61">
            <v>2.1082279246190012</v>
          </cell>
        </row>
        <row r="62">
          <cell r="A62" t="str">
            <v>14:Q3</v>
          </cell>
          <cell r="B62">
            <v>1.7614918394599939</v>
          </cell>
          <cell r="C62">
            <v>1.9936294877000664</v>
          </cell>
          <cell r="D62">
            <v>2.1173160830434514</v>
          </cell>
          <cell r="E62">
            <v>2.0067626010194064</v>
          </cell>
          <cell r="F62">
            <v>1.7058999801942116</v>
          </cell>
          <cell r="G62">
            <v>1.3657106278635172</v>
          </cell>
          <cell r="H62">
            <v>1.9381168971785288</v>
          </cell>
        </row>
        <row r="63">
          <cell r="A63" t="str">
            <v>14:Q4</v>
          </cell>
          <cell r="B63">
            <v>1.5906878196928425</v>
          </cell>
          <cell r="C63">
            <v>1.8379882274885331</v>
          </cell>
          <cell r="D63">
            <v>2.0120584391957497</v>
          </cell>
          <cell r="E63">
            <v>1.8695207527070115</v>
          </cell>
          <cell r="F63">
            <v>1.5700698500348924</v>
          </cell>
          <cell r="G63">
            <v>1.334867964853043</v>
          </cell>
          <cell r="H63">
            <v>1.8113383976027273</v>
          </cell>
        </row>
        <row r="64">
          <cell r="A64" t="str">
            <v>15:Q1</v>
          </cell>
          <cell r="B64">
            <v>1.3439957094370609</v>
          </cell>
          <cell r="C64">
            <v>1.7559016348448659</v>
          </cell>
          <cell r="D64">
            <v>1.9449224170526098</v>
          </cell>
          <cell r="E64">
            <v>1.9103921991761634</v>
          </cell>
          <cell r="F64">
            <v>1.0965100628072977</v>
          </cell>
          <cell r="G64">
            <v>1.3622758492547782</v>
          </cell>
          <cell r="H64">
            <v>1.7038088401880929</v>
          </cell>
        </row>
        <row r="65">
          <cell r="A65" t="str">
            <v>15:Q2</v>
          </cell>
          <cell r="B65">
            <v>1.2019700761537948</v>
          </cell>
          <cell r="C65">
            <v>1.6540125793726017</v>
          </cell>
          <cell r="D65">
            <v>1.8861878765887847</v>
          </cell>
          <cell r="E65">
            <v>1.8796675255420452</v>
          </cell>
          <cell r="F65">
            <v>1.0105899215650878</v>
          </cell>
          <cell r="G65">
            <v>1.47705173485312</v>
          </cell>
          <cell r="H65">
            <v>1.6481835158048872</v>
          </cell>
        </row>
        <row r="66">
          <cell r="A66" t="str">
            <v>15:Q3</v>
          </cell>
          <cell r="B66">
            <v>1.1297926484214353</v>
          </cell>
          <cell r="C66">
            <v>1.6919404690704922</v>
          </cell>
          <cell r="D66">
            <v>1.7442301102429503</v>
          </cell>
          <cell r="E66">
            <v>1.8871655801093095</v>
          </cell>
          <cell r="F66">
            <v>0.99081192812386976</v>
          </cell>
          <cell r="G66">
            <v>1.7450178849954856</v>
          </cell>
          <cell r="H66">
            <v>1.62743789222093</v>
          </cell>
        </row>
        <row r="67">
          <cell r="A67" t="str">
            <v>15:Q4</v>
          </cell>
          <cell r="B67">
            <v>1.0382401226933184</v>
          </cell>
          <cell r="C67">
            <v>1.5873303282084286</v>
          </cell>
          <cell r="D67">
            <v>1.841646371030782</v>
          </cell>
          <cell r="E67">
            <v>1.7122601459660582</v>
          </cell>
          <cell r="F67">
            <v>0.88563856843147604</v>
          </cell>
          <cell r="G67">
            <v>1.4618657978727414</v>
          </cell>
          <cell r="H67">
            <v>1.5488315302439322</v>
          </cell>
        </row>
        <row r="68">
          <cell r="A68" t="str">
            <v>16:Q1</v>
          </cell>
          <cell r="B68">
            <v>1.0045545970147354</v>
          </cell>
          <cell r="C68">
            <v>1.4770348979643972</v>
          </cell>
          <cell r="D68">
            <v>1.7891799420349415</v>
          </cell>
          <cell r="E68">
            <v>1.5534997949926554</v>
          </cell>
          <cell r="F68">
            <v>1.0932075452404906</v>
          </cell>
          <cell r="G68">
            <v>1.2939407139816681</v>
          </cell>
          <cell r="H68">
            <v>1.4921092250186734</v>
          </cell>
        </row>
        <row r="69">
          <cell r="A69" t="str">
            <v>16:Q2</v>
          </cell>
          <cell r="B69">
            <v>1.0279053831395477</v>
          </cell>
          <cell r="C69">
            <v>1.4491498557476157</v>
          </cell>
          <cell r="D69">
            <v>1.511800100665293</v>
          </cell>
          <cell r="E69">
            <v>1.6198873376871772</v>
          </cell>
          <cell r="F69">
            <v>1.0593734735131179</v>
          </cell>
          <cell r="G69">
            <v>1.0584328994025465</v>
          </cell>
          <cell r="H69">
            <v>1.4054151112699431</v>
          </cell>
        </row>
        <row r="70">
          <cell r="A70" t="str">
            <v>16:Q3</v>
          </cell>
          <cell r="B70">
            <v>0.79021054781330591</v>
          </cell>
          <cell r="C70">
            <v>1.2090777976754086</v>
          </cell>
          <cell r="D70">
            <v>1.4821960907481908</v>
          </cell>
          <cell r="E70">
            <v>1.4696204466869134</v>
          </cell>
          <cell r="F70">
            <v>1.0421752769361301</v>
          </cell>
          <cell r="G70">
            <v>0.84206800858262387</v>
          </cell>
          <cell r="H70">
            <v>1.2873338318026035</v>
          </cell>
        </row>
        <row r="71">
          <cell r="A71" t="str">
            <v>16:Q4</v>
          </cell>
          <cell r="B71">
            <v>0.77685974736784924</v>
          </cell>
          <cell r="C71">
            <v>1.1023236566273003</v>
          </cell>
          <cell r="D71">
            <v>1.3292772185425266</v>
          </cell>
          <cell r="E71">
            <v>1.5988918985055347</v>
          </cell>
          <cell r="F71">
            <v>1.2035940867619865</v>
          </cell>
          <cell r="G71">
            <v>0.89527162246334591</v>
          </cell>
          <cell r="H71">
            <v>1.2867829477050103</v>
          </cell>
        </row>
        <row r="72">
          <cell r="A72" t="str">
            <v>17:Q1</v>
          </cell>
          <cell r="B72">
            <v>0.86605707823671563</v>
          </cell>
          <cell r="C72">
            <v>1.1341954904849123</v>
          </cell>
          <cell r="D72">
            <v>1.2691484951505583</v>
          </cell>
          <cell r="E72">
            <v>1.5023097489477755</v>
          </cell>
          <cell r="F72">
            <v>1.1343751071861725</v>
          </cell>
          <cell r="G72">
            <v>0.8980030071793863</v>
          </cell>
          <cell r="H72">
            <v>1.2419473781511228</v>
          </cell>
        </row>
        <row r="73">
          <cell r="A73" t="str">
            <v>17:Q2</v>
          </cell>
          <cell r="B73">
            <v>0.80835318760338792</v>
          </cell>
          <cell r="C73">
            <v>1.1268606315972869</v>
          </cell>
          <cell r="D73">
            <v>1.3057107633796698</v>
          </cell>
          <cell r="E73">
            <v>1.443802652857531</v>
          </cell>
          <cell r="F73">
            <v>1.0572196874004596</v>
          </cell>
          <cell r="G73">
            <v>1.085821575346215</v>
          </cell>
          <cell r="H73">
            <v>1.2344270931376931</v>
          </cell>
        </row>
        <row r="74">
          <cell r="A74" t="str">
            <v>17:Q3</v>
          </cell>
          <cell r="B74">
            <v>0.89510185919955321</v>
          </cell>
          <cell r="C74">
            <v>1.1520155181174951</v>
          </cell>
          <cell r="D74">
            <v>1.3548168499262714</v>
          </cell>
          <cell r="E74">
            <v>1.4325566640889791</v>
          </cell>
          <cell r="F74">
            <v>0.99976554453381983</v>
          </cell>
          <cell r="G74">
            <v>0.9955425549798933</v>
          </cell>
          <cell r="H74">
            <v>1.2351251041507003</v>
          </cell>
        </row>
        <row r="75">
          <cell r="A75" t="str">
            <v>17:Q4</v>
          </cell>
          <cell r="B75">
            <v>0.83716981324779527</v>
          </cell>
          <cell r="C75">
            <v>1.1047302353853217</v>
          </cell>
          <cell r="D75">
            <v>1.2905285026374822</v>
          </cell>
          <cell r="E75">
            <v>1.2455955695019199</v>
          </cell>
          <cell r="F75">
            <v>0.91452085195041743</v>
          </cell>
          <cell r="G75">
            <v>0.90170934414320891</v>
          </cell>
          <cell r="H75">
            <v>1.135437957276987</v>
          </cell>
        </row>
        <row r="76">
          <cell r="A76" t="str">
            <v>18:Q1</v>
          </cell>
          <cell r="B76">
            <v>0.7651453754202806</v>
          </cell>
          <cell r="C76">
            <v>1.1062641387860526</v>
          </cell>
          <cell r="D76">
            <v>1.2365783710329832</v>
          </cell>
          <cell r="E76">
            <v>1.2825157671502025</v>
          </cell>
          <cell r="F76">
            <v>0.87747563839483367</v>
          </cell>
          <cell r="G76">
            <v>1.0334373935304644</v>
          </cell>
          <cell r="H76">
            <v>1.1304723774487841</v>
          </cell>
        </row>
        <row r="77">
          <cell r="A77" t="str">
            <v>18:Q2</v>
          </cell>
          <cell r="B77">
            <v>0.81503247105140564</v>
          </cell>
          <cell r="C77">
            <v>1.1400466055890808</v>
          </cell>
          <cell r="D77">
            <v>1.2532896591278915</v>
          </cell>
          <cell r="E77">
            <v>1.3429435279778035</v>
          </cell>
          <cell r="F77">
            <v>0.96588370082282649</v>
          </cell>
          <cell r="G77">
            <v>1.0495988544051988</v>
          </cell>
          <cell r="H77">
            <v>1.1746452705913588</v>
          </cell>
        </row>
        <row r="78">
          <cell r="A78" t="str">
            <v>18:Q3</v>
          </cell>
          <cell r="B78">
            <v>0.76903922285643611</v>
          </cell>
          <cell r="C78">
            <v>1.0378597678890811</v>
          </cell>
          <cell r="D78">
            <v>1.2290166374914435</v>
          </cell>
          <cell r="E78">
            <v>1.3873284056352444</v>
          </cell>
          <cell r="F78">
            <v>0.93207323123899699</v>
          </cell>
          <cell r="G78">
            <v>1.2919786111384925</v>
          </cell>
          <cell r="H78">
            <v>1.171325073556714</v>
          </cell>
        </row>
        <row r="79">
          <cell r="A79" t="str">
            <v>18:Q4</v>
          </cell>
          <cell r="B79">
            <v>0.87237790192661102</v>
          </cell>
          <cell r="C79">
            <v>1.0246765989736606</v>
          </cell>
          <cell r="D79">
            <v>1.1924030695976129</v>
          </cell>
          <cell r="E79">
            <v>1.50077067730109</v>
          </cell>
          <cell r="F79">
            <v>0.8440130611101796</v>
          </cell>
          <cell r="G79">
            <v>1.3320293898578976</v>
          </cell>
          <cell r="H79">
            <v>1.1791564018448542</v>
          </cell>
        </row>
        <row r="80">
          <cell r="A80" t="str">
            <v>19:Q1</v>
          </cell>
          <cell r="B80">
            <v>0.82572944994818898</v>
          </cell>
          <cell r="C80">
            <v>0.93184755832365529</v>
          </cell>
          <cell r="D80">
            <v>1.1375105093548625</v>
          </cell>
          <cell r="E80">
            <v>1.4012817463855267</v>
          </cell>
          <cell r="F80">
            <v>0.82548158417082507</v>
          </cell>
          <cell r="G80">
            <v>1.0505364851622061</v>
          </cell>
          <cell r="H80">
            <v>1.0940159295422454</v>
          </cell>
        </row>
        <row r="81">
          <cell r="A81" t="str">
            <v>19:Q2</v>
          </cell>
          <cell r="B81">
            <v>0.82028310916721259</v>
          </cell>
          <cell r="C81">
            <v>0.91920682139096521</v>
          </cell>
          <cell r="D81">
            <v>1.1514538197763384</v>
          </cell>
          <cell r="E81">
            <v>1.2718848170256607</v>
          </cell>
          <cell r="F81">
            <v>0.72428789072844002</v>
          </cell>
          <cell r="G81">
            <v>0.92260088308718602</v>
          </cell>
          <cell r="H81">
            <v>1.0349363522800341</v>
          </cell>
        </row>
        <row r="82">
          <cell r="A82" t="str">
            <v>19:Q3</v>
          </cell>
          <cell r="B82">
            <v>0.87255711966974181</v>
          </cell>
          <cell r="C82">
            <v>0.89702213177702028</v>
          </cell>
          <cell r="D82">
            <v>1.0919906386316462</v>
          </cell>
          <cell r="E82">
            <v>1.2393413626802261</v>
          </cell>
          <cell r="F82">
            <v>0.6982450069111803</v>
          </cell>
          <cell r="G82">
            <v>0.73975777926686903</v>
          </cell>
          <cell r="H82">
            <v>0.98893042595826075</v>
          </cell>
        </row>
        <row r="83">
          <cell r="A83" t="str">
            <v>19:Q4</v>
          </cell>
          <cell r="B83">
            <v>0.90260934734431952</v>
          </cell>
          <cell r="C83">
            <v>1.0147380442863032</v>
          </cell>
          <cell r="D83">
            <v>1.2087674141796372</v>
          </cell>
          <cell r="E83">
            <v>1.1820771362549978</v>
          </cell>
          <cell r="F83">
            <v>0.84452591416318934</v>
          </cell>
          <cell r="G83">
            <v>1.2531347496320475</v>
          </cell>
          <cell r="H83">
            <v>1.0969971106915992</v>
          </cell>
        </row>
        <row r="84">
          <cell r="A84" t="str">
            <v>20:Q1</v>
          </cell>
          <cell r="B84">
            <v>0.91119067560075007</v>
          </cell>
          <cell r="C84">
            <v>1.0339422136294834</v>
          </cell>
          <cell r="D84">
            <v>1.3470413001639361</v>
          </cell>
          <cell r="E84">
            <v>1.2090030686832125</v>
          </cell>
          <cell r="F84">
            <v>0.93394462772455333</v>
          </cell>
          <cell r="G84">
            <v>1.4110531285408587</v>
          </cell>
          <cell r="H84">
            <v>1.1712941719981447</v>
          </cell>
        </row>
        <row r="85">
          <cell r="A85" t="str">
            <v>20:Q2</v>
          </cell>
          <cell r="B85">
            <v>0.79263228913008399</v>
          </cell>
          <cell r="C85">
            <v>0.92716288678332415</v>
          </cell>
          <cell r="D85">
            <v>1.1893724060275039</v>
          </cell>
          <cell r="E85">
            <v>1.1739053106728647</v>
          </cell>
          <cell r="F85">
            <v>0.92510644087368288</v>
          </cell>
          <cell r="G85">
            <v>1.2722454900818627</v>
          </cell>
          <cell r="H85">
            <v>1.0813051212239178</v>
          </cell>
        </row>
        <row r="86">
          <cell r="A86" t="str">
            <v>20:Q3</v>
          </cell>
          <cell r="B86">
            <v>0.62929760738122731</v>
          </cell>
          <cell r="C86">
            <v>0.85064720679548722</v>
          </cell>
          <cell r="D86">
            <v>1.0601494030356273</v>
          </cell>
          <cell r="E86">
            <v>1.0005693017690074</v>
          </cell>
          <cell r="F86">
            <v>0.84490822083441819</v>
          </cell>
          <cell r="G86">
            <v>1.1797682145086992</v>
          </cell>
          <cell r="H86">
            <v>0.96119662491986713</v>
          </cell>
        </row>
        <row r="87">
          <cell r="A87" t="str">
            <v>20:Q4</v>
          </cell>
          <cell r="B87">
            <v>0.43595891874487352</v>
          </cell>
          <cell r="C87">
            <v>0.53560626543039325</v>
          </cell>
          <cell r="D87">
            <v>0.73840585746418919</v>
          </cell>
          <cell r="E87">
            <v>0.73912255411178274</v>
          </cell>
          <cell r="F87">
            <v>0.60873797419083475</v>
          </cell>
          <cell r="G87">
            <v>0.55288760539292336</v>
          </cell>
          <cell r="H87">
            <v>0.648756514148215</v>
          </cell>
        </row>
        <row r="88">
          <cell r="A88" t="str">
            <v>21:Q1</v>
          </cell>
          <cell r="B88">
            <v>0.35652694357193188</v>
          </cell>
          <cell r="C88">
            <v>0.35009988488055127</v>
          </cell>
          <cell r="D88">
            <v>0.46350104877727955</v>
          </cell>
          <cell r="E88">
            <v>0.49761311472620517</v>
          </cell>
          <cell r="F88">
            <v>0.34932872499020895</v>
          </cell>
          <cell r="G88">
            <v>0.33369566577296828</v>
          </cell>
          <cell r="H88">
            <v>0.41508898522469045</v>
          </cell>
        </row>
        <row r="89">
          <cell r="A89" t="str">
            <v>21:Q2</v>
          </cell>
          <cell r="B89">
            <v>0.24892839183316701</v>
          </cell>
          <cell r="C89">
            <v>0.28571996208685202</v>
          </cell>
          <cell r="D89">
            <v>0.39915872210915998</v>
          </cell>
          <cell r="E89">
            <v>0.34945836641549599</v>
          </cell>
          <cell r="F89">
            <v>0.31611567099101701</v>
          </cell>
          <cell r="G89">
            <v>0.27772086840972299</v>
          </cell>
          <cell r="H89">
            <v>0.33405221393353701</v>
          </cell>
        </row>
        <row r="90">
          <cell r="A90" t="str">
            <v>21:Q3</v>
          </cell>
          <cell r="B90">
            <v>0.27259729475539324</v>
          </cell>
          <cell r="C90">
            <v>0.20004586835625912</v>
          </cell>
          <cell r="D90">
            <v>0.33289204805907097</v>
          </cell>
          <cell r="E90">
            <v>0.29486453906649751</v>
          </cell>
          <cell r="F90">
            <v>0.27164446735200171</v>
          </cell>
          <cell r="G90">
            <v>0.22909135424010349</v>
          </cell>
          <cell r="H90">
            <v>0.27483994959168251</v>
          </cell>
        </row>
        <row r="91">
          <cell r="A91" t="str">
            <v>21:Q4</v>
          </cell>
          <cell r="B91">
            <v>0.22565281308172502</v>
          </cell>
          <cell r="C91">
            <v>0.22988001246016654</v>
          </cell>
          <cell r="D91">
            <v>0.37692790851770808</v>
          </cell>
          <cell r="E91">
            <v>0.26813884711467484</v>
          </cell>
          <cell r="F91">
            <v>0.31768823539980928</v>
          </cell>
          <cell r="G91">
            <v>0.25058445712463162</v>
          </cell>
          <cell r="H91">
            <v>0.29313061468037871</v>
          </cell>
        </row>
        <row r="92">
          <cell r="A92" t="str">
            <v>22:Q1</v>
          </cell>
          <cell r="B92">
            <v>0.26</v>
          </cell>
          <cell r="C92">
            <v>0.26</v>
          </cell>
          <cell r="D92">
            <v>0.42</v>
          </cell>
          <cell r="E92">
            <v>0.33</v>
          </cell>
          <cell r="F92">
            <v>0.38</v>
          </cell>
          <cell r="G92">
            <v>0.38</v>
          </cell>
          <cell r="H92">
            <v>0.35</v>
          </cell>
        </row>
        <row r="93">
          <cell r="A93" t="str">
            <v>22:Q2</v>
          </cell>
          <cell r="B93">
            <v>0.44257636131894168</v>
          </cell>
          <cell r="C93">
            <v>0.38878861633457185</v>
          </cell>
          <cell r="D93">
            <v>0.55834977612005821</v>
          </cell>
          <cell r="E93">
            <v>0.38867315652004725</v>
          </cell>
          <cell r="F93">
            <v>0.40640205457190026</v>
          </cell>
          <cell r="G93">
            <v>0.40727821643121148</v>
          </cell>
          <cell r="H93">
            <v>0.43829255926379218</v>
          </cell>
        </row>
        <row r="94">
          <cell r="A94" t="str">
            <v>22:Q3</v>
          </cell>
          <cell r="B94">
            <v>0.47600938523665021</v>
          </cell>
          <cell r="C94">
            <v>0.47540497771273277</v>
          </cell>
          <cell r="D94">
            <v>0.67767349943801147</v>
          </cell>
          <cell r="E94">
            <v>0.43068989522024226</v>
          </cell>
          <cell r="F94">
            <v>0.40875052789446376</v>
          </cell>
          <cell r="G94">
            <v>0.47067430553765083</v>
          </cell>
          <cell r="H94">
            <v>0.5055304203823181</v>
          </cell>
        </row>
        <row r="95">
          <cell r="A95" t="str">
            <v>22:Q4</v>
          </cell>
          <cell r="B95">
            <v>0.63419885683346966</v>
          </cell>
          <cell r="C95">
            <v>0.59466993270792434</v>
          </cell>
          <cell r="D95">
            <v>0.70889577723897268</v>
          </cell>
          <cell r="E95">
            <v>0.49156085314869735</v>
          </cell>
          <cell r="F95">
            <v>0.45176799491748293</v>
          </cell>
          <cell r="G95">
            <v>0.41874069541732084</v>
          </cell>
          <cell r="H95">
            <v>0.56359922787752381</v>
          </cell>
        </row>
        <row r="96">
          <cell r="A96" t="str">
            <v>23:Q1</v>
          </cell>
          <cell r="B96">
            <v>0.77439999999999998</v>
          </cell>
          <cell r="C96">
            <v>0.63439999999999996</v>
          </cell>
          <cell r="D96">
            <v>0.71109999999999995</v>
          </cell>
          <cell r="E96">
            <v>0.51080000000000003</v>
          </cell>
          <cell r="F96">
            <v>0.42059999999999997</v>
          </cell>
          <cell r="G96">
            <v>0.43469999999999998</v>
          </cell>
          <cell r="H96">
            <v>0.58079999999999998</v>
          </cell>
        </row>
        <row r="97">
          <cell r="A97" t="str">
            <v>23:Q2</v>
          </cell>
          <cell r="B97">
            <v>0.89807313400409561</v>
          </cell>
          <cell r="C97">
            <v>0.62963514252213559</v>
          </cell>
          <cell r="D97">
            <v>0.78525111386199586</v>
          </cell>
          <cell r="E97">
            <v>0.55184526647883514</v>
          </cell>
          <cell r="F97">
            <v>0.4492257674533483</v>
          </cell>
          <cell r="G97">
            <v>0.52349887174629217</v>
          </cell>
          <cell r="H97">
            <v>0.62741151693228847</v>
          </cell>
        </row>
        <row r="98">
          <cell r="A98" t="str">
            <v>23:Q3</v>
          </cell>
          <cell r="B98">
            <v>0.93101545558498433</v>
          </cell>
          <cell r="C98">
            <v>0.76568902997379062</v>
          </cell>
          <cell r="D98">
            <v>0.86897074271160524</v>
          </cell>
          <cell r="E98">
            <v>0.69194316091903663</v>
          </cell>
          <cell r="F98">
            <v>0.50552116757153331</v>
          </cell>
          <cell r="G98">
            <v>0.53909602561087955</v>
          </cell>
          <cell r="H98">
            <v>0.72286199737918488</v>
          </cell>
        </row>
        <row r="99">
          <cell r="A99" t="str">
            <v>23:Q4</v>
          </cell>
          <cell r="B99">
            <v>1.2330865661123334</v>
          </cell>
          <cell r="C99">
            <v>0.82700509889442231</v>
          </cell>
          <cell r="D99">
            <v>0.91598247841519209</v>
          </cell>
          <cell r="E99">
            <v>0.86986724412138894</v>
          </cell>
          <cell r="F99">
            <v>0.49487545018528417</v>
          </cell>
          <cell r="G99">
            <v>0.62419170248853362</v>
          </cell>
          <cell r="H99">
            <v>0.80864637908163473</v>
          </cell>
        </row>
        <row r="100">
          <cell r="A100" t="str">
            <v>24:Q1</v>
          </cell>
          <cell r="B100">
            <v>1.3174661671255203</v>
          </cell>
          <cell r="C100">
            <v>0.93373893789990148</v>
          </cell>
          <cell r="D100">
            <v>1.0912382189223444</v>
          </cell>
          <cell r="E100">
            <v>1.0313502936061865</v>
          </cell>
          <cell r="F100">
            <v>0.48111625436758665</v>
          </cell>
          <cell r="G100">
            <v>0.55967927386531247</v>
          </cell>
          <cell r="H100">
            <v>0.91211461581312647</v>
          </cell>
        </row>
        <row r="101">
          <cell r="A101" t="str">
            <v>24:Q2</v>
          </cell>
          <cell r="B101">
            <v>1.1313777181128148</v>
          </cell>
          <cell r="C101">
            <v>1.0711975285404822</v>
          </cell>
          <cell r="D101">
            <v>1.0542330306571068</v>
          </cell>
          <cell r="E101">
            <v>1.1583052960015625</v>
          </cell>
          <cell r="F101">
            <v>0.5002410594243788</v>
          </cell>
          <cell r="G101">
            <v>0.53136357777507726</v>
          </cell>
          <cell r="H101">
            <v>0.95307165949178929</v>
          </cell>
        </row>
        <row r="102">
          <cell r="A102" t="str">
            <v>24:Q3</v>
          </cell>
          <cell r="B102">
            <v>1.3115413162182095</v>
          </cell>
          <cell r="C102">
            <v>1.2281857326533303</v>
          </cell>
          <cell r="D102">
            <v>1.1896629653142565</v>
          </cell>
          <cell r="E102">
            <v>1.3170383009613207</v>
          </cell>
          <cell r="F102">
            <v>0.58228947109283236</v>
          </cell>
          <cell r="G102">
            <v>0.56176969072770266</v>
          </cell>
          <cell r="H102">
            <v>1.0810585529317216</v>
          </cell>
        </row>
        <row r="103">
          <cell r="A103" t="str">
            <v>24:Q4</v>
          </cell>
          <cell r="B103">
            <v>1.1248696121911783</v>
          </cell>
          <cell r="C103">
            <v>1.2735405486644535</v>
          </cell>
          <cell r="D103">
            <v>1.2364052350512185</v>
          </cell>
          <cell r="E103">
            <v>1.2976186434237043</v>
          </cell>
          <cell r="F103">
            <v>0.5500634136785395</v>
          </cell>
          <cell r="G103">
            <v>0.66331305691519216</v>
          </cell>
          <cell r="H103">
            <v>1.0945620040905746</v>
          </cell>
        </row>
        <row r="104">
          <cell r="A104" t="str">
            <v>25:Q1</v>
          </cell>
          <cell r="B104">
            <v>1.213281106643918</v>
          </cell>
          <cell r="C104">
            <v>1.4865155727142425</v>
          </cell>
          <cell r="D104">
            <v>1.2269401504669504</v>
          </cell>
          <cell r="E104">
            <v>1.4548650886518744</v>
          </cell>
          <cell r="F104">
            <v>0.69817572321135868</v>
          </cell>
          <cell r="G104">
            <v>0.88266565116002782</v>
          </cell>
          <cell r="H104">
            <v>1.2197536938619893</v>
          </cell>
        </row>
        <row r="105">
          <cell r="A105" t="str">
            <v>25:Q2</v>
          </cell>
          <cell r="B105">
            <v>1.3157610042861356</v>
          </cell>
          <cell r="C105">
            <v>1.5017357262822166</v>
          </cell>
          <cell r="D105">
            <v>1.4165826504703889</v>
          </cell>
          <cell r="E105">
            <v>1.442859512523587</v>
          </cell>
          <cell r="F105">
            <v>0.77733877357562853</v>
          </cell>
          <cell r="G105">
            <v>0.91931165424100558</v>
          </cell>
          <cell r="H105">
            <v>1.2913870609776286</v>
          </cell>
        </row>
        <row r="106">
          <cell r="A106" t="str">
            <v>25:Q3</v>
          </cell>
          <cell r="B106">
            <v>1.4095757803694184</v>
          </cell>
          <cell r="C106">
            <v>1.5527356511115409</v>
          </cell>
          <cell r="D106">
            <v>1.4239125460946882</v>
          </cell>
          <cell r="E106">
            <v>1.3063044568410145</v>
          </cell>
          <cell r="F106">
            <v>0.76616392829067537</v>
          </cell>
          <cell r="G106">
            <v>1.021053502648122</v>
          </cell>
          <cell r="H106">
            <v>1.284157883859333</v>
          </cell>
        </row>
        <row r="107">
          <cell r="A107" t="str">
            <v>25:Q4</v>
          </cell>
          <cell r="B107">
            <v>1.5434753196184081</v>
          </cell>
          <cell r="C107">
            <v>1.5869973953013921</v>
          </cell>
          <cell r="D107">
            <v>1.4994549728079634</v>
          </cell>
          <cell r="E107">
            <v>1.503322854504618</v>
          </cell>
          <cell r="F107">
            <v>0.95293098534631404</v>
          </cell>
          <cell r="G107">
            <v>0.9570578519030849</v>
          </cell>
          <cell r="H107">
            <v>1.3842170952064834</v>
          </cell>
        </row>
        <row r="108">
          <cell r="A108" t="str">
            <v>26:Q1</v>
          </cell>
          <cell r="B108">
            <v>1.7283683132344758</v>
          </cell>
          <cell r="C108">
            <v>1.6615543275072415</v>
          </cell>
          <cell r="D108">
            <v>1.6846194395813832</v>
          </cell>
          <cell r="E108">
            <v>1.6439326713745834</v>
          </cell>
          <cell r="F108">
            <v>0.95383727934201212</v>
          </cell>
          <cell r="G108">
            <v>0.83555501970576496</v>
          </cell>
          <cell r="H108">
            <v>1.4791378800617692</v>
          </cell>
        </row>
      </sheetData>
      <sheetData sheetId="44" refreshError="1"/>
      <sheetData sheetId="45">
        <row r="1">
          <cell r="A1" t="str">
            <v>Transition into Serious Delinquency (90+) for Auto Loans by Age</v>
          </cell>
        </row>
        <row r="2">
          <cell r="A2" t="str">
            <v>Percent</v>
          </cell>
        </row>
        <row r="3">
          <cell r="A3" t="str">
            <v>quarter</v>
          </cell>
          <cell r="B3" t="str">
            <v>18-29</v>
          </cell>
          <cell r="C3" t="str">
            <v>30-39</v>
          </cell>
          <cell r="D3" t="str">
            <v>40-49</v>
          </cell>
          <cell r="E3" t="str">
            <v>50-59</v>
          </cell>
          <cell r="F3" t="str">
            <v>60-69</v>
          </cell>
          <cell r="G3" t="str">
            <v>70+</v>
          </cell>
          <cell r="H3" t="str">
            <v>all</v>
          </cell>
        </row>
        <row r="4">
          <cell r="A4" t="str">
            <v>00:Q1</v>
          </cell>
          <cell r="B4">
            <v>2.98329037467624</v>
          </cell>
          <cell r="C4">
            <v>1.8976957919470172</v>
          </cell>
          <cell r="D4">
            <v>1.7389606372475637</v>
          </cell>
          <cell r="E4">
            <v>1.0974311158392038</v>
          </cell>
          <cell r="F4">
            <v>2.1085046597645327</v>
          </cell>
          <cell r="G4">
            <v>1.6632292005515372</v>
          </cell>
          <cell r="H4">
            <v>1.8627070777289449</v>
          </cell>
        </row>
        <row r="5">
          <cell r="A5" t="str">
            <v>00:Q2</v>
          </cell>
          <cell r="B5">
            <v>3.0611542009584185</v>
          </cell>
          <cell r="C5">
            <v>1.9285352721015658</v>
          </cell>
          <cell r="D5">
            <v>1.5684720199020821</v>
          </cell>
          <cell r="E5">
            <v>1.2430080629360487</v>
          </cell>
          <cell r="F5">
            <v>2.0606318109510595</v>
          </cell>
          <cell r="G5">
            <v>1.2843299130956771</v>
          </cell>
          <cell r="H5">
            <v>1.8482541391714964</v>
          </cell>
        </row>
        <row r="6">
          <cell r="A6" t="str">
            <v>00:Q3</v>
          </cell>
          <cell r="B6">
            <v>2.9254243901673931</v>
          </cell>
          <cell r="C6">
            <v>1.9768985531615209</v>
          </cell>
          <cell r="D6">
            <v>1.3996865112021453</v>
          </cell>
          <cell r="E6">
            <v>1.2182107165114779</v>
          </cell>
          <cell r="F6">
            <v>1.2544184339511166</v>
          </cell>
          <cell r="G6">
            <v>1.210404156771077</v>
          </cell>
          <cell r="H6">
            <v>1.7321105762577664</v>
          </cell>
        </row>
        <row r="7">
          <cell r="A7" t="str">
            <v>00:Q4</v>
          </cell>
          <cell r="B7">
            <v>3.0982393387099156</v>
          </cell>
          <cell r="C7">
            <v>2.1934730944067913</v>
          </cell>
          <cell r="D7">
            <v>1.4744985231562568</v>
          </cell>
          <cell r="E7">
            <v>1.5415040816250347</v>
          </cell>
          <cell r="F7">
            <v>1.3328179046277631</v>
          </cell>
          <cell r="G7">
            <v>1.8445041721817719</v>
          </cell>
          <cell r="H7">
            <v>1.9302939160983135</v>
          </cell>
        </row>
        <row r="8">
          <cell r="A8" t="str">
            <v>01:Q1</v>
          </cell>
          <cell r="B8">
            <v>3.0340780805304011</v>
          </cell>
          <cell r="C8">
            <v>2.3949479879098896</v>
          </cell>
          <cell r="D8">
            <v>1.393825780989556</v>
          </cell>
          <cell r="E8">
            <v>1.5121820984701728</v>
          </cell>
          <cell r="F8">
            <v>0.79904398271611488</v>
          </cell>
          <cell r="G8">
            <v>1.8605443032507951</v>
          </cell>
          <cell r="H8">
            <v>1.9107454408300393</v>
          </cell>
        </row>
        <row r="9">
          <cell r="A9" t="str">
            <v>01:Q2</v>
          </cell>
          <cell r="B9">
            <v>2.9837384062505521</v>
          </cell>
          <cell r="C9">
            <v>2.4848773541411426</v>
          </cell>
          <cell r="D9">
            <v>1.5146011283481815</v>
          </cell>
          <cell r="E9">
            <v>1.5744616046355218</v>
          </cell>
          <cell r="F9">
            <v>1.1115375130651208</v>
          </cell>
          <cell r="G9">
            <v>2.1020278091594133</v>
          </cell>
          <cell r="H9">
            <v>2.0119517056371472</v>
          </cell>
        </row>
        <row r="10">
          <cell r="A10" t="str">
            <v>01:Q3</v>
          </cell>
          <cell r="B10">
            <v>3.2964618106429313</v>
          </cell>
          <cell r="C10">
            <v>2.6840460146063516</v>
          </cell>
          <cell r="D10">
            <v>1.7043698412378641</v>
          </cell>
          <cell r="E10">
            <v>1.5563845053995968</v>
          </cell>
          <cell r="F10">
            <v>1.2187000287019671</v>
          </cell>
          <cell r="G10">
            <v>2.3510133839630187</v>
          </cell>
          <cell r="H10">
            <v>2.1751292251440977</v>
          </cell>
        </row>
        <row r="11">
          <cell r="A11" t="str">
            <v>01:Q4</v>
          </cell>
          <cell r="B11">
            <v>3.4710263297698449</v>
          </cell>
          <cell r="C11">
            <v>2.8418885869381323</v>
          </cell>
          <cell r="D11">
            <v>1.8001310096841021</v>
          </cell>
          <cell r="E11">
            <v>1.481980520988627</v>
          </cell>
          <cell r="F11">
            <v>1.1643776999578359</v>
          </cell>
          <cell r="G11">
            <v>2.0742107878847538</v>
          </cell>
          <cell r="H11">
            <v>2.2388303461647872</v>
          </cell>
        </row>
        <row r="12">
          <cell r="A12" t="str">
            <v>02:Q1</v>
          </cell>
          <cell r="B12">
            <v>3.9809804255817651</v>
          </cell>
          <cell r="C12">
            <v>2.828595799357295</v>
          </cell>
          <cell r="D12">
            <v>1.9959554484032775</v>
          </cell>
          <cell r="E12">
            <v>1.5502154905705632</v>
          </cell>
          <cell r="F12">
            <v>1.3347976464447657</v>
          </cell>
          <cell r="G12">
            <v>2.2244031923480168</v>
          </cell>
          <cell r="H12">
            <v>2.40569019633157</v>
          </cell>
        </row>
        <row r="13">
          <cell r="A13" t="str">
            <v>02:Q2</v>
          </cell>
          <cell r="B13">
            <v>4.2558502820173327</v>
          </cell>
          <cell r="C13">
            <v>2.755749327400717</v>
          </cell>
          <cell r="D13">
            <v>2.1251916797315804</v>
          </cell>
          <cell r="E13">
            <v>1.6250769209127194</v>
          </cell>
          <cell r="F13">
            <v>1.077363907062773</v>
          </cell>
          <cell r="G13">
            <v>1.9278516602835594</v>
          </cell>
          <cell r="H13">
            <v>2.4340183088771252</v>
          </cell>
        </row>
        <row r="14">
          <cell r="A14" t="str">
            <v>02:Q3</v>
          </cell>
          <cell r="B14">
            <v>4.313553584723218</v>
          </cell>
          <cell r="C14">
            <v>2.7007089923888992</v>
          </cell>
          <cell r="D14">
            <v>2.1672417228620464</v>
          </cell>
          <cell r="E14">
            <v>1.6515093135093055</v>
          </cell>
          <cell r="F14">
            <v>1.0390426861568565</v>
          </cell>
          <cell r="G14">
            <v>1.9261817230587497</v>
          </cell>
          <cell r="H14">
            <v>2.4329897940067493</v>
          </cell>
        </row>
        <row r="15">
          <cell r="A15" t="str">
            <v>02:Q4</v>
          </cell>
          <cell r="B15">
            <v>4.1985773698177908</v>
          </cell>
          <cell r="C15">
            <v>2.5845620871064616</v>
          </cell>
          <cell r="D15">
            <v>2.0747870271520457</v>
          </cell>
          <cell r="E15">
            <v>1.3722853849575491</v>
          </cell>
          <cell r="F15">
            <v>1.1340060239844612</v>
          </cell>
          <cell r="G15">
            <v>1.6593593506134701</v>
          </cell>
          <cell r="H15">
            <v>2.2993707394228742</v>
          </cell>
        </row>
        <row r="16">
          <cell r="A16" t="str">
            <v>03:Q1</v>
          </cell>
          <cell r="B16">
            <v>3.935946700642043</v>
          </cell>
          <cell r="C16">
            <v>2.5672024967290894</v>
          </cell>
          <cell r="D16">
            <v>1.9296042788658492</v>
          </cell>
          <cell r="E16">
            <v>1.3584866925404355</v>
          </cell>
          <cell r="F16">
            <v>0.99673579663336165</v>
          </cell>
          <cell r="G16">
            <v>1.352116200659899</v>
          </cell>
          <cell r="H16">
            <v>2.1792768804552414</v>
          </cell>
        </row>
        <row r="17">
          <cell r="A17" t="str">
            <v>03:Q2</v>
          </cell>
          <cell r="B17">
            <v>3.8332464451152792</v>
          </cell>
          <cell r="C17">
            <v>2.5852869701799217</v>
          </cell>
          <cell r="D17">
            <v>1.9138632638693742</v>
          </cell>
          <cell r="E17">
            <v>1.3731036732312241</v>
          </cell>
          <cell r="F17">
            <v>1.1698026810539666</v>
          </cell>
          <cell r="G17">
            <v>1.5552575703356712</v>
          </cell>
          <cell r="H17">
            <v>2.1882547913205861</v>
          </cell>
        </row>
        <row r="18">
          <cell r="A18" t="str">
            <v>03:Q3</v>
          </cell>
          <cell r="B18">
            <v>3.5863894769468359</v>
          </cell>
          <cell r="C18">
            <v>2.543528650163247</v>
          </cell>
          <cell r="D18">
            <v>1.9554473385412854</v>
          </cell>
          <cell r="E18">
            <v>1.3233619000464614</v>
          </cell>
          <cell r="F18">
            <v>1.1200161748734203</v>
          </cell>
          <cell r="G18">
            <v>1.578777366429271</v>
          </cell>
          <cell r="H18">
            <v>2.1392734857270836</v>
          </cell>
        </row>
        <row r="19">
          <cell r="A19" t="str">
            <v>03:Q4</v>
          </cell>
          <cell r="B19">
            <v>3.3109987088547075</v>
          </cell>
          <cell r="C19">
            <v>2.3086734648557612</v>
          </cell>
          <cell r="D19">
            <v>1.9590882680632555</v>
          </cell>
          <cell r="E19">
            <v>1.4266281806385597</v>
          </cell>
          <cell r="F19">
            <v>0.95640764300490078</v>
          </cell>
          <cell r="G19">
            <v>1.5894168042654502</v>
          </cell>
          <cell r="H19">
            <v>2.0442618539889392</v>
          </cell>
        </row>
        <row r="20">
          <cell r="A20" t="str">
            <v>04:Q1</v>
          </cell>
          <cell r="B20">
            <v>3.0558909997153751</v>
          </cell>
          <cell r="C20">
            <v>2.1384270891519215</v>
          </cell>
          <cell r="D20">
            <v>1.9886885472887221</v>
          </cell>
          <cell r="E20">
            <v>1.372644147999905</v>
          </cell>
          <cell r="F20">
            <v>1.0710208053129511</v>
          </cell>
          <cell r="G20">
            <v>1.5851145776858173</v>
          </cell>
          <cell r="H20">
            <v>1.9659506042689889</v>
          </cell>
        </row>
        <row r="21">
          <cell r="A21" t="str">
            <v>04:Q2</v>
          </cell>
          <cell r="B21">
            <v>2.7883768477825073</v>
          </cell>
          <cell r="C21">
            <v>2.1165653741070671</v>
          </cell>
          <cell r="D21">
            <v>1.8204342198485906</v>
          </cell>
          <cell r="E21">
            <v>1.1946226243359162</v>
          </cell>
          <cell r="F21">
            <v>0.97063038542995872</v>
          </cell>
          <cell r="G21">
            <v>1.402330404656962</v>
          </cell>
          <cell r="H21">
            <v>1.8216758910646853</v>
          </cell>
        </row>
        <row r="22">
          <cell r="A22" t="str">
            <v>04:Q3</v>
          </cell>
          <cell r="B22">
            <v>2.6362453152095648</v>
          </cell>
          <cell r="C22">
            <v>2.1516069263355457</v>
          </cell>
          <cell r="D22">
            <v>1.6979298312992337</v>
          </cell>
          <cell r="E22">
            <v>1.2343348401882881</v>
          </cell>
          <cell r="F22">
            <v>0.96998371916809101</v>
          </cell>
          <cell r="G22">
            <v>1.1316202282409715</v>
          </cell>
          <cell r="H22">
            <v>1.7711392481906336</v>
          </cell>
        </row>
        <row r="23">
          <cell r="A23" t="str">
            <v>04:Q4</v>
          </cell>
          <cell r="B23">
            <v>2.8492539883438042</v>
          </cell>
          <cell r="C23">
            <v>2.1854665489704219</v>
          </cell>
          <cell r="D23">
            <v>1.6759468777823527</v>
          </cell>
          <cell r="E23">
            <v>1.1379338301669828</v>
          </cell>
          <cell r="F23">
            <v>0.99988710933265335</v>
          </cell>
          <cell r="G23">
            <v>1.083847060320497</v>
          </cell>
          <cell r="H23">
            <v>1.7794355167935691</v>
          </cell>
        </row>
        <row r="24">
          <cell r="A24" t="str">
            <v>05:Q1</v>
          </cell>
          <cell r="B24">
            <v>2.8585894657656832</v>
          </cell>
          <cell r="C24">
            <v>2.1999985402651698</v>
          </cell>
          <cell r="D24">
            <v>1.4645235029729646</v>
          </cell>
          <cell r="E24">
            <v>1.0087157028894889</v>
          </cell>
          <cell r="F24">
            <v>0.92014481725277919</v>
          </cell>
          <cell r="G24">
            <v>1.081300840561888</v>
          </cell>
          <cell r="H24">
            <v>1.6910925530357848</v>
          </cell>
        </row>
        <row r="25">
          <cell r="A25" t="str">
            <v>05:Q2</v>
          </cell>
          <cell r="B25">
            <v>2.8759376745809528</v>
          </cell>
          <cell r="C25">
            <v>2.0979431816329761</v>
          </cell>
          <cell r="D25">
            <v>1.5021183595542464</v>
          </cell>
          <cell r="E25">
            <v>1.0208398693216842</v>
          </cell>
          <cell r="F25">
            <v>0.83832867028017533</v>
          </cell>
          <cell r="G25">
            <v>1.0514355365138504</v>
          </cell>
          <cell r="H25">
            <v>1.6749714186772235</v>
          </cell>
        </row>
        <row r="26">
          <cell r="A26" t="str">
            <v>05:Q3</v>
          </cell>
          <cell r="B26">
            <v>3.0261696552031134</v>
          </cell>
          <cell r="C26">
            <v>1.9980372438278784</v>
          </cell>
          <cell r="D26">
            <v>1.4693905112321055</v>
          </cell>
          <cell r="E26">
            <v>0.9834684154723824</v>
          </cell>
          <cell r="F26">
            <v>0.90504904565622613</v>
          </cell>
          <cell r="G26">
            <v>1.1048218034348034</v>
          </cell>
          <cell r="H26">
            <v>1.6620116318869389</v>
          </cell>
        </row>
        <row r="27">
          <cell r="A27" t="str">
            <v>05:Q4</v>
          </cell>
          <cell r="B27">
            <v>2.8671184251601356</v>
          </cell>
          <cell r="C27">
            <v>2.0275820635295401</v>
          </cell>
          <cell r="D27">
            <v>1.4908916032302275</v>
          </cell>
          <cell r="E27">
            <v>1.0010624004347883</v>
          </cell>
          <cell r="F27">
            <v>1.0397912342457187</v>
          </cell>
          <cell r="G27">
            <v>1.2043561956130555</v>
          </cell>
          <cell r="H27">
            <v>1.6697104100473585</v>
          </cell>
        </row>
        <row r="28">
          <cell r="A28" t="str">
            <v>06:Q1</v>
          </cell>
          <cell r="B28">
            <v>2.8941815097007559</v>
          </cell>
          <cell r="C28">
            <v>1.9165815799771384</v>
          </cell>
          <cell r="D28">
            <v>1.5575121032775021</v>
          </cell>
          <cell r="E28">
            <v>0.98031202667279371</v>
          </cell>
          <cell r="F28">
            <v>0.99041586067978271</v>
          </cell>
          <cell r="G28">
            <v>1.3923999772282658</v>
          </cell>
          <cell r="H28">
            <v>1.6600382169529377</v>
          </cell>
        </row>
        <row r="29">
          <cell r="A29" t="str">
            <v>06:Q2</v>
          </cell>
          <cell r="B29">
            <v>3.0931420701187422</v>
          </cell>
          <cell r="C29">
            <v>2.2380235936209867</v>
          </cell>
          <cell r="D29">
            <v>1.5499672169722627</v>
          </cell>
          <cell r="E29">
            <v>1.0006296983486545</v>
          </cell>
          <cell r="F29">
            <v>1.1385104411551299</v>
          </cell>
          <cell r="G29">
            <v>1.6240443084018521</v>
          </cell>
          <cell r="H29">
            <v>1.7859827325840651</v>
          </cell>
        </row>
        <row r="30">
          <cell r="A30" t="str">
            <v>06:Q3</v>
          </cell>
          <cell r="B30">
            <v>3.2920013625846858</v>
          </cell>
          <cell r="C30">
            <v>2.492634864702846</v>
          </cell>
          <cell r="D30">
            <v>1.8369023240359357</v>
          </cell>
          <cell r="E30">
            <v>1.1430814646058547</v>
          </cell>
          <cell r="F30">
            <v>1.4047033616707376</v>
          </cell>
          <cell r="G30">
            <v>1.8773396163608391</v>
          </cell>
          <cell r="H30">
            <v>2.0165148473576688</v>
          </cell>
        </row>
        <row r="31">
          <cell r="A31" t="str">
            <v>06:Q4</v>
          </cell>
          <cell r="B31">
            <v>3.583840049912161</v>
          </cell>
          <cell r="C31">
            <v>2.7172831362497556</v>
          </cell>
          <cell r="D31">
            <v>2.1340659687152881</v>
          </cell>
          <cell r="E31">
            <v>1.2668511874203539</v>
          </cell>
          <cell r="F31">
            <v>1.2973285050352243</v>
          </cell>
          <cell r="G31">
            <v>2.0863094394728243</v>
          </cell>
          <cell r="H31">
            <v>2.2186831583295699</v>
          </cell>
        </row>
        <row r="32">
          <cell r="A32" t="str">
            <v>07:Q1</v>
          </cell>
          <cell r="B32">
            <v>3.4856554825721608</v>
          </cell>
          <cell r="C32">
            <v>2.9698291972270754</v>
          </cell>
          <cell r="D32">
            <v>2.2477536509810134</v>
          </cell>
          <cell r="E32">
            <v>1.395004550078738</v>
          </cell>
          <cell r="F32">
            <v>1.3313474812035508</v>
          </cell>
          <cell r="G32">
            <v>2.3474373939805697</v>
          </cell>
          <cell r="H32">
            <v>2.3363813841842571</v>
          </cell>
        </row>
        <row r="33">
          <cell r="A33" t="str">
            <v>07:Q2</v>
          </cell>
          <cell r="B33">
            <v>3.5452568069605963</v>
          </cell>
          <cell r="C33">
            <v>2.875191774156975</v>
          </cell>
          <cell r="D33">
            <v>2.3691459714866827</v>
          </cell>
          <cell r="E33">
            <v>1.4195063507990262</v>
          </cell>
          <cell r="F33">
            <v>1.3719715906625845</v>
          </cell>
          <cell r="G33">
            <v>2.0940771678503309</v>
          </cell>
          <cell r="H33">
            <v>2.3630471812401419</v>
          </cell>
        </row>
        <row r="34">
          <cell r="A34" t="str">
            <v>07:Q3</v>
          </cell>
          <cell r="B34">
            <v>3.6379646070944704</v>
          </cell>
          <cell r="C34">
            <v>2.9846469023621038</v>
          </cell>
          <cell r="D34">
            <v>2.2879413905859867</v>
          </cell>
          <cell r="E34">
            <v>1.3238644161741677</v>
          </cell>
          <cell r="F34">
            <v>1.2511383085612691</v>
          </cell>
          <cell r="G34">
            <v>1.7550851782755748</v>
          </cell>
          <cell r="H34">
            <v>2.3401847281602874</v>
          </cell>
        </row>
        <row r="35">
          <cell r="A35" t="str">
            <v>07:Q4</v>
          </cell>
          <cell r="B35">
            <v>4.0532414217337163</v>
          </cell>
          <cell r="C35">
            <v>3.1381931212704188</v>
          </cell>
          <cell r="D35">
            <v>2.1045280104230115</v>
          </cell>
          <cell r="E35">
            <v>1.4307057242086529</v>
          </cell>
          <cell r="F35">
            <v>1.4906507538731506</v>
          </cell>
          <cell r="G35">
            <v>1.7564589453225521</v>
          </cell>
          <cell r="H35">
            <v>2.4407337190619813</v>
          </cell>
        </row>
        <row r="36">
          <cell r="A36" t="str">
            <v>08:Q1</v>
          </cell>
          <cell r="B36">
            <v>4.4671524323093719</v>
          </cell>
          <cell r="C36">
            <v>3.3710097532988987</v>
          </cell>
          <cell r="D36">
            <v>2.2847635367637036</v>
          </cell>
          <cell r="E36">
            <v>1.7133232721352649</v>
          </cell>
          <cell r="F36">
            <v>1.9782011020343309</v>
          </cell>
          <cell r="G36">
            <v>1.6948799248592668</v>
          </cell>
          <cell r="H36">
            <v>2.7117825921421415</v>
          </cell>
        </row>
        <row r="37">
          <cell r="A37" t="str">
            <v>08:Q2</v>
          </cell>
          <cell r="B37">
            <v>4.6434882858681856</v>
          </cell>
          <cell r="C37">
            <v>3.5297293256422315</v>
          </cell>
          <cell r="D37">
            <v>2.3825968160072426</v>
          </cell>
          <cell r="E37">
            <v>1.9533023834896011</v>
          </cell>
          <cell r="F37">
            <v>1.8882105349363756</v>
          </cell>
          <cell r="G37">
            <v>1.9786266856347003</v>
          </cell>
          <cell r="H37">
            <v>2.8483850922988956</v>
          </cell>
        </row>
        <row r="38">
          <cell r="A38" t="str">
            <v>08:Q3</v>
          </cell>
          <cell r="B38">
            <v>5.1234750686362203</v>
          </cell>
          <cell r="C38">
            <v>3.8112321840415269</v>
          </cell>
          <cell r="D38">
            <v>2.6541618905690343</v>
          </cell>
          <cell r="E38">
            <v>2.3443892691445174</v>
          </cell>
          <cell r="F38">
            <v>1.8866348008904761</v>
          </cell>
          <cell r="G38">
            <v>2.2384366854223634</v>
          </cell>
          <cell r="H38">
            <v>3.1458267425219648</v>
          </cell>
        </row>
        <row r="39">
          <cell r="A39" t="str">
            <v>08:Q4</v>
          </cell>
          <cell r="B39">
            <v>5.42735336837272</v>
          </cell>
          <cell r="C39">
            <v>3.9003157338980499</v>
          </cell>
          <cell r="D39">
            <v>2.9122961286950648</v>
          </cell>
          <cell r="E39">
            <v>2.4540188213142349</v>
          </cell>
          <cell r="F39">
            <v>1.7248833755154305</v>
          </cell>
          <cell r="G39">
            <v>2.3317112981132837</v>
          </cell>
          <cell r="H39">
            <v>3.2859938224667284</v>
          </cell>
        </row>
        <row r="40">
          <cell r="A40" t="str">
            <v>09:Q1</v>
          </cell>
          <cell r="B40">
            <v>5.5867520033109237</v>
          </cell>
          <cell r="C40">
            <v>3.997408723784067</v>
          </cell>
          <cell r="D40">
            <v>3.0661751732432942</v>
          </cell>
          <cell r="E40">
            <v>2.4929045413614794</v>
          </cell>
          <cell r="F40">
            <v>1.4886769069697179</v>
          </cell>
          <cell r="G40">
            <v>2.3692840593378404</v>
          </cell>
          <cell r="H40">
            <v>3.3575194505876818</v>
          </cell>
        </row>
        <row r="41">
          <cell r="A41" t="str">
            <v>09:Q2</v>
          </cell>
          <cell r="B41">
            <v>5.6172246492981674</v>
          </cell>
          <cell r="C41">
            <v>4.0589315958164933</v>
          </cell>
          <cell r="D41">
            <v>3.2735619837922556</v>
          </cell>
          <cell r="E41">
            <v>2.572462788097587</v>
          </cell>
          <cell r="F41">
            <v>1.8857429031969755</v>
          </cell>
          <cell r="G41">
            <v>2.1980257706879844</v>
          </cell>
          <cell r="H41">
            <v>3.4769074776592102</v>
          </cell>
        </row>
        <row r="42">
          <cell r="A42" t="str">
            <v>09:Q3</v>
          </cell>
          <cell r="B42">
            <v>5.2977289229258764</v>
          </cell>
          <cell r="C42">
            <v>3.8717089495020307</v>
          </cell>
          <cell r="D42">
            <v>3.2978186667436771</v>
          </cell>
          <cell r="E42">
            <v>2.3658444275102153</v>
          </cell>
          <cell r="F42">
            <v>1.9152046273722245</v>
          </cell>
          <cell r="G42">
            <v>2.2560148598617555</v>
          </cell>
          <cell r="H42">
            <v>3.3432925603551573</v>
          </cell>
        </row>
        <row r="43">
          <cell r="A43" t="str">
            <v>09:Q4</v>
          </cell>
          <cell r="B43">
            <v>4.6489808828775692</v>
          </cell>
          <cell r="C43">
            <v>3.8051295970055339</v>
          </cell>
          <cell r="D43">
            <v>3.3626857166897786</v>
          </cell>
          <cell r="E43">
            <v>2.3746332451699903</v>
          </cell>
          <cell r="F43">
            <v>2.0348102679507458</v>
          </cell>
          <cell r="G43">
            <v>2.1214158325640255</v>
          </cell>
          <cell r="H43">
            <v>3.2435399025864293</v>
          </cell>
        </row>
        <row r="44">
          <cell r="A44" t="str">
            <v>10:Q1</v>
          </cell>
          <cell r="B44">
            <v>4.450514721098223</v>
          </cell>
          <cell r="C44">
            <v>3.567227804052457</v>
          </cell>
          <cell r="D44">
            <v>3.3353023354736959</v>
          </cell>
          <cell r="E44">
            <v>2.2781521211888665</v>
          </cell>
          <cell r="F44">
            <v>1.8569886120409655</v>
          </cell>
          <cell r="G44">
            <v>2.02596747908744</v>
          </cell>
          <cell r="H44">
            <v>3.0974259971952329</v>
          </cell>
        </row>
        <row r="45">
          <cell r="A45" t="str">
            <v>10:Q2</v>
          </cell>
          <cell r="B45">
            <v>4.3026064201365095</v>
          </cell>
          <cell r="C45">
            <v>3.4313475802077531</v>
          </cell>
          <cell r="D45">
            <v>3.0204888611565459</v>
          </cell>
          <cell r="E45">
            <v>2.0066947179719374</v>
          </cell>
          <cell r="F45">
            <v>1.4923936642001863</v>
          </cell>
          <cell r="G45">
            <v>2.0479312801660825</v>
          </cell>
          <cell r="H45">
            <v>2.853606168040915</v>
          </cell>
        </row>
        <row r="46">
          <cell r="A46" t="str">
            <v>10:Q3</v>
          </cell>
          <cell r="B46">
            <v>3.9424908681160873</v>
          </cell>
          <cell r="C46">
            <v>3.1194625922944592</v>
          </cell>
          <cell r="D46">
            <v>2.5770010582828613</v>
          </cell>
          <cell r="E46">
            <v>1.9183404056423756</v>
          </cell>
          <cell r="F46">
            <v>1.2405882163651079</v>
          </cell>
          <cell r="G46">
            <v>1.9541992630249743</v>
          </cell>
          <cell r="H46">
            <v>2.5546213305287155</v>
          </cell>
        </row>
        <row r="47">
          <cell r="A47" t="str">
            <v>10:Q4</v>
          </cell>
          <cell r="B47">
            <v>3.5887218852051288</v>
          </cell>
          <cell r="C47">
            <v>2.892944791377976</v>
          </cell>
          <cell r="D47">
            <v>2.232420517380322</v>
          </cell>
          <cell r="E47">
            <v>1.7233142495483049</v>
          </cell>
          <cell r="F47">
            <v>1.1435384210104145</v>
          </cell>
          <cell r="G47">
            <v>2.099218763610629</v>
          </cell>
          <cell r="H47">
            <v>2.3112740306541166</v>
          </cell>
        </row>
        <row r="48">
          <cell r="A48" t="str">
            <v>11:Q1</v>
          </cell>
          <cell r="B48">
            <v>3.1218722665680243</v>
          </cell>
          <cell r="C48">
            <v>2.6170393478733138</v>
          </cell>
          <cell r="D48">
            <v>1.8775179993333717</v>
          </cell>
          <cell r="E48">
            <v>1.502919647629313</v>
          </cell>
          <cell r="F48">
            <v>1.0888936201903363</v>
          </cell>
          <cell r="G48">
            <v>1.9402142448880573</v>
          </cell>
          <cell r="H48">
            <v>2.0259607616327147</v>
          </cell>
        </row>
        <row r="49">
          <cell r="A49" t="str">
            <v>11:Q2</v>
          </cell>
          <cell r="B49">
            <v>2.6947396093618119</v>
          </cell>
          <cell r="C49">
            <v>2.3686467689184911</v>
          </cell>
          <cell r="D49">
            <v>1.719973503924344</v>
          </cell>
          <cell r="E49">
            <v>1.4839329724517816</v>
          </cell>
          <cell r="F49">
            <v>1.0421251381192593</v>
          </cell>
          <cell r="G49">
            <v>1.8227355153772589</v>
          </cell>
          <cell r="H49">
            <v>1.8579013238511566</v>
          </cell>
        </row>
        <row r="50">
          <cell r="A50" t="str">
            <v>11:Q3</v>
          </cell>
          <cell r="B50">
            <v>2.6346825808165555</v>
          </cell>
          <cell r="C50">
            <v>2.3731030900008143</v>
          </cell>
          <cell r="D50">
            <v>1.7148567663237926</v>
          </cell>
          <cell r="E50">
            <v>1.3937120170899813</v>
          </cell>
          <cell r="F50">
            <v>1.0196974652262578</v>
          </cell>
          <cell r="G50">
            <v>1.5346198151614985</v>
          </cell>
          <cell r="H50">
            <v>1.8063735728402079</v>
          </cell>
        </row>
        <row r="51">
          <cell r="A51" t="str">
            <v>11:Q4</v>
          </cell>
          <cell r="B51">
            <v>2.496273748380097</v>
          </cell>
          <cell r="C51">
            <v>2.2335937291228287</v>
          </cell>
          <cell r="D51">
            <v>1.6325316262961658</v>
          </cell>
          <cell r="E51">
            <v>1.2823334004817648</v>
          </cell>
          <cell r="F51">
            <v>1.0239549780239638</v>
          </cell>
          <cell r="G51">
            <v>1.0867160568921927</v>
          </cell>
          <cell r="H51">
            <v>1.6886923230100961</v>
          </cell>
        </row>
        <row r="52">
          <cell r="A52" t="str">
            <v>12:Q1</v>
          </cell>
          <cell r="B52">
            <v>2.4766974075012613</v>
          </cell>
          <cell r="C52">
            <v>2.1984898459843945</v>
          </cell>
          <cell r="D52">
            <v>1.5423261255007314</v>
          </cell>
          <cell r="E52">
            <v>1.1982213564105046</v>
          </cell>
          <cell r="F52">
            <v>1.0022221645696268</v>
          </cell>
          <cell r="G52">
            <v>0.97378157742427296</v>
          </cell>
          <cell r="H52">
            <v>1.6268435036770497</v>
          </cell>
        </row>
        <row r="53">
          <cell r="A53" t="str">
            <v>12:Q2</v>
          </cell>
          <cell r="B53">
            <v>2.5281441438062044</v>
          </cell>
          <cell r="C53">
            <v>2.1325355828562182</v>
          </cell>
          <cell r="D53">
            <v>1.5757420198011269</v>
          </cell>
          <cell r="E53">
            <v>1.092856284978958</v>
          </cell>
          <cell r="F53">
            <v>0.99599383830048172</v>
          </cell>
          <cell r="G53">
            <v>0.91716816354150987</v>
          </cell>
          <cell r="H53">
            <v>1.5970668318403176</v>
          </cell>
        </row>
        <row r="54">
          <cell r="A54" t="str">
            <v>12:Q3</v>
          </cell>
          <cell r="B54">
            <v>2.4132258895398127</v>
          </cell>
          <cell r="C54">
            <v>1.9342453583570718</v>
          </cell>
          <cell r="D54">
            <v>1.4883692054746809</v>
          </cell>
          <cell r="E54">
            <v>1.035242988452618</v>
          </cell>
          <cell r="F54">
            <v>0.97858884774651123</v>
          </cell>
          <cell r="G54">
            <v>1.248792325960423</v>
          </cell>
          <cell r="H54">
            <v>1.5171573737453796</v>
          </cell>
        </row>
        <row r="55">
          <cell r="A55" t="str">
            <v>12:Q4</v>
          </cell>
          <cell r="B55">
            <v>2.4906820878069889</v>
          </cell>
          <cell r="C55">
            <v>2.057861961843034</v>
          </cell>
          <cell r="D55">
            <v>1.4768136249489334</v>
          </cell>
          <cell r="E55">
            <v>1.0033959152368777</v>
          </cell>
          <cell r="F55">
            <v>0.74935158597051443</v>
          </cell>
          <cell r="G55">
            <v>1.4734973656449553</v>
          </cell>
          <cell r="H55">
            <v>1.5236265950660646</v>
          </cell>
        </row>
        <row r="56">
          <cell r="A56" t="str">
            <v>13:Q1</v>
          </cell>
          <cell r="B56">
            <v>2.5746573125431786</v>
          </cell>
          <cell r="C56">
            <v>2.2608758019450987</v>
          </cell>
          <cell r="D56">
            <v>1.479419995560419</v>
          </cell>
          <cell r="E56">
            <v>1.0112117497674111</v>
          </cell>
          <cell r="F56">
            <v>0.67723338165865021</v>
          </cell>
          <cell r="G56">
            <v>1.4678091240947984</v>
          </cell>
          <cell r="H56">
            <v>1.5713110968353694</v>
          </cell>
        </row>
        <row r="57">
          <cell r="A57" t="str">
            <v>13:Q2</v>
          </cell>
          <cell r="B57">
            <v>2.4716453780239385</v>
          </cell>
          <cell r="C57">
            <v>2.4426132693615417</v>
          </cell>
          <cell r="D57">
            <v>1.4770361157046754</v>
          </cell>
          <cell r="E57">
            <v>1.1061090195364141</v>
          </cell>
          <cell r="F57">
            <v>0.68276387142480188</v>
          </cell>
          <cell r="G57">
            <v>1.6019615942909997</v>
          </cell>
          <cell r="H57">
            <v>1.6283213384090964</v>
          </cell>
        </row>
        <row r="58">
          <cell r="A58" t="str">
            <v>13:Q3</v>
          </cell>
          <cell r="B58">
            <v>2.3971690361309741</v>
          </cell>
          <cell r="C58">
            <v>2.4932634283932478</v>
          </cell>
          <cell r="D58">
            <v>1.5064512779663637</v>
          </cell>
          <cell r="E58">
            <v>1.1215201996606379</v>
          </cell>
          <cell r="F58">
            <v>0.73037591509008837</v>
          </cell>
          <cell r="G58">
            <v>1.2998602476985481</v>
          </cell>
          <cell r="H58">
            <v>1.631065585268527</v>
          </cell>
        </row>
        <row r="59">
          <cell r="A59" t="str">
            <v>13:Q4</v>
          </cell>
          <cell r="B59">
            <v>2.298741252701491</v>
          </cell>
          <cell r="C59">
            <v>2.3373600807712838</v>
          </cell>
          <cell r="D59">
            <v>1.5253069137879438</v>
          </cell>
          <cell r="E59">
            <v>1.0669462755237076</v>
          </cell>
          <cell r="F59">
            <v>0.80084126859291915</v>
          </cell>
          <cell r="G59">
            <v>1.1049180299378549</v>
          </cell>
          <cell r="H59">
            <v>1.5759438354563065</v>
          </cell>
        </row>
        <row r="60">
          <cell r="A60" t="str">
            <v>14:Q1</v>
          </cell>
          <cell r="B60">
            <v>2.2844323091733814</v>
          </cell>
          <cell r="C60">
            <v>2.2441096236947549</v>
          </cell>
          <cell r="D60">
            <v>1.5910725799683056</v>
          </cell>
          <cell r="E60">
            <v>0.99013075367464087</v>
          </cell>
          <cell r="F60">
            <v>0.87807810636437744</v>
          </cell>
          <cell r="G60">
            <v>0.97654792218645325</v>
          </cell>
          <cell r="H60">
            <v>1.5562822641930876</v>
          </cell>
        </row>
        <row r="61">
          <cell r="A61" t="str">
            <v>14:Q2</v>
          </cell>
          <cell r="B61">
            <v>2.6555329133297998</v>
          </cell>
          <cell r="C61">
            <v>2.1747605425399374</v>
          </cell>
          <cell r="D61">
            <v>1.6669503711113018</v>
          </cell>
          <cell r="E61">
            <v>1.0640266611587579</v>
          </cell>
          <cell r="F61">
            <v>0.87416850686631198</v>
          </cell>
          <cell r="G61">
            <v>0.87434607917331475</v>
          </cell>
          <cell r="H61">
            <v>1.6121979639639115</v>
          </cell>
        </row>
        <row r="62">
          <cell r="A62" t="str">
            <v>14:Q3</v>
          </cell>
          <cell r="B62">
            <v>2.9615765638526739</v>
          </cell>
          <cell r="C62">
            <v>2.3539187031407902</v>
          </cell>
          <cell r="D62">
            <v>1.7536551152516775</v>
          </cell>
          <cell r="E62">
            <v>1.1266034148709956</v>
          </cell>
          <cell r="F62">
            <v>0.85987869524418326</v>
          </cell>
          <cell r="G62">
            <v>0.99923270545555365</v>
          </cell>
          <cell r="H62">
            <v>1.7292769215923578</v>
          </cell>
        </row>
        <row r="63">
          <cell r="A63" t="str">
            <v>14:Q4</v>
          </cell>
          <cell r="B63">
            <v>3.165697993983172</v>
          </cell>
          <cell r="C63">
            <v>2.6864263468762504</v>
          </cell>
          <cell r="D63">
            <v>1.8557879045391554</v>
          </cell>
          <cell r="E63">
            <v>1.2449752088229</v>
          </cell>
          <cell r="F63">
            <v>0.87992745477788326</v>
          </cell>
          <cell r="G63">
            <v>0.94393500081689996</v>
          </cell>
          <cell r="H63">
            <v>1.879004118135412</v>
          </cell>
        </row>
        <row r="64">
          <cell r="A64" t="str">
            <v>15:Q1</v>
          </cell>
          <cell r="B64">
            <v>3.5577326688000066</v>
          </cell>
          <cell r="C64">
            <v>2.6545573145592574</v>
          </cell>
          <cell r="D64">
            <v>1.9226708129401411</v>
          </cell>
          <cell r="E64">
            <v>1.2736081687583123</v>
          </cell>
          <cell r="F64">
            <v>0.93380372037712955</v>
          </cell>
          <cell r="G64">
            <v>1.0126730979627148</v>
          </cell>
          <cell r="H64">
            <v>1.9572124516849765</v>
          </cell>
        </row>
        <row r="65">
          <cell r="A65" t="str">
            <v>15:Q2</v>
          </cell>
          <cell r="B65">
            <v>3.7653285236465717</v>
          </cell>
          <cell r="C65">
            <v>2.7632434257826959</v>
          </cell>
          <cell r="D65">
            <v>1.9306538305822525</v>
          </cell>
          <cell r="E65">
            <v>1.2668187734678633</v>
          </cell>
          <cell r="F65">
            <v>0.90250044203623292</v>
          </cell>
          <cell r="G65">
            <v>1.0340098900958095</v>
          </cell>
          <cell r="H65">
            <v>2.0026142844860728</v>
          </cell>
        </row>
        <row r="66">
          <cell r="A66" t="str">
            <v>15:Q3</v>
          </cell>
          <cell r="B66">
            <v>3.9755025382302889</v>
          </cell>
          <cell r="C66">
            <v>2.6583006798631104</v>
          </cell>
          <cell r="D66">
            <v>1.9728840286704321</v>
          </cell>
          <cell r="E66">
            <v>1.2359256447473086</v>
          </cell>
          <cell r="F66">
            <v>1.0308173779160947</v>
          </cell>
          <cell r="G66">
            <v>1.1574919488347875</v>
          </cell>
          <cell r="H66">
            <v>2.0362007201012866</v>
          </cell>
        </row>
        <row r="67">
          <cell r="A67" t="str">
            <v>15:Q4</v>
          </cell>
          <cell r="B67">
            <v>4.1324134597534892</v>
          </cell>
          <cell r="C67">
            <v>2.4924621702685203</v>
          </cell>
          <cell r="D67">
            <v>2.0835429697462065</v>
          </cell>
          <cell r="E67">
            <v>1.2405385318601958</v>
          </cell>
          <cell r="F67">
            <v>1.1360225182848973</v>
          </cell>
          <cell r="G67">
            <v>1.5456591729292746</v>
          </cell>
          <cell r="H67">
            <v>2.0855456689463514</v>
          </cell>
        </row>
        <row r="68">
          <cell r="A68" t="str">
            <v>16:Q1</v>
          </cell>
          <cell r="B68">
            <v>4.2957936178712677</v>
          </cell>
          <cell r="C68">
            <v>2.5981398318538274</v>
          </cell>
          <cell r="D68">
            <v>2.1539492379743841</v>
          </cell>
          <cell r="E68">
            <v>1.3219750695214523</v>
          </cell>
          <cell r="F68">
            <v>1.1919560755999361</v>
          </cell>
          <cell r="G68">
            <v>1.6079330621583776</v>
          </cell>
          <cell r="H68">
            <v>2.1768489689981894</v>
          </cell>
        </row>
        <row r="69">
          <cell r="A69" t="str">
            <v>16:Q2</v>
          </cell>
          <cell r="B69">
            <v>4.1677261926173301</v>
          </cell>
          <cell r="C69">
            <v>2.5588811111845389</v>
          </cell>
          <cell r="D69">
            <v>2.1827999522334949</v>
          </cell>
          <cell r="E69">
            <v>1.2700535387489311</v>
          </cell>
          <cell r="F69">
            <v>1.3106946452002473</v>
          </cell>
          <cell r="G69">
            <v>1.8541314342641908</v>
          </cell>
          <cell r="H69">
            <v>2.1811191800087388</v>
          </cell>
        </row>
        <row r="70">
          <cell r="A70" t="str">
            <v>16:Q3</v>
          </cell>
          <cell r="B70">
            <v>3.963006502936353</v>
          </cell>
          <cell r="C70">
            <v>2.7100535962632768</v>
          </cell>
          <cell r="D70">
            <v>2.2058738059676273</v>
          </cell>
          <cell r="E70">
            <v>1.3755963364965202</v>
          </cell>
          <cell r="F70">
            <v>1.3008592855322247</v>
          </cell>
          <cell r="G70">
            <v>1.7885568922380042</v>
          </cell>
          <cell r="H70">
            <v>2.2105840429669175</v>
          </cell>
        </row>
        <row r="71">
          <cell r="A71" t="str">
            <v>16:Q4</v>
          </cell>
          <cell r="B71">
            <v>4.1517779153028735</v>
          </cell>
          <cell r="C71">
            <v>2.7899669292048737</v>
          </cell>
          <cell r="D71">
            <v>2.1290250241658861</v>
          </cell>
          <cell r="E71">
            <v>1.4023468261842724</v>
          </cell>
          <cell r="F71">
            <v>1.3919645827913152</v>
          </cell>
          <cell r="G71">
            <v>1.7522856508425209</v>
          </cell>
          <cell r="H71">
            <v>2.2485617572284378</v>
          </cell>
        </row>
        <row r="72">
          <cell r="A72" t="str">
            <v>17:Q1</v>
          </cell>
          <cell r="B72">
            <v>4.034349939672337</v>
          </cell>
          <cell r="C72">
            <v>2.8530906633834556</v>
          </cell>
          <cell r="D72">
            <v>2.1392541968572258</v>
          </cell>
          <cell r="E72">
            <v>1.5757706778827798</v>
          </cell>
          <cell r="F72">
            <v>1.3830296683408763</v>
          </cell>
          <cell r="G72">
            <v>2.0717333339623676</v>
          </cell>
          <cell r="H72">
            <v>2.3014488758957268</v>
          </cell>
        </row>
        <row r="73">
          <cell r="A73" t="str">
            <v>17:Q2</v>
          </cell>
          <cell r="B73">
            <v>4.2129612173484894</v>
          </cell>
          <cell r="C73">
            <v>2.7572262881073155</v>
          </cell>
          <cell r="D73">
            <v>2.1608781472315806</v>
          </cell>
          <cell r="E73">
            <v>1.6191506536059381</v>
          </cell>
          <cell r="F73">
            <v>1.4248138727645963</v>
          </cell>
          <cell r="G73">
            <v>1.9124448911206897</v>
          </cell>
          <cell r="H73">
            <v>2.3096404754642545</v>
          </cell>
        </row>
        <row r="74">
          <cell r="A74" t="str">
            <v>17:Q3</v>
          </cell>
          <cell r="B74">
            <v>4.3383172297453196</v>
          </cell>
          <cell r="C74">
            <v>2.8360312245764607</v>
          </cell>
          <cell r="D74">
            <v>2.1715757847474824</v>
          </cell>
          <cell r="E74">
            <v>1.5991710282976679</v>
          </cell>
          <cell r="F74">
            <v>1.5611574731731463</v>
          </cell>
          <cell r="G74">
            <v>2.0355029474435327</v>
          </cell>
          <cell r="H74">
            <v>2.3648665734932415</v>
          </cell>
        </row>
        <row r="75">
          <cell r="A75" t="str">
            <v>17:Q4</v>
          </cell>
          <cell r="B75">
            <v>4.2915213901942941</v>
          </cell>
          <cell r="C75">
            <v>2.6600730178490233</v>
          </cell>
          <cell r="D75">
            <v>2.2375484533711099</v>
          </cell>
          <cell r="E75">
            <v>1.6938913927359012</v>
          </cell>
          <cell r="F75">
            <v>1.4942376997269977</v>
          </cell>
          <cell r="G75">
            <v>1.9029815776050722</v>
          </cell>
          <cell r="H75">
            <v>2.3358668874168558</v>
          </cell>
        </row>
        <row r="76">
          <cell r="A76" t="str">
            <v>18:Q1</v>
          </cell>
          <cell r="B76">
            <v>4.1018307214323873</v>
          </cell>
          <cell r="C76">
            <v>2.6266956304111027</v>
          </cell>
          <cell r="D76">
            <v>2.2301827740701081</v>
          </cell>
          <cell r="E76">
            <v>1.5963472743731073</v>
          </cell>
          <cell r="F76">
            <v>1.6452574337059975</v>
          </cell>
          <cell r="G76">
            <v>1.6864115834254128</v>
          </cell>
          <cell r="H76">
            <v>2.2879825361154111</v>
          </cell>
        </row>
        <row r="77">
          <cell r="A77" t="str">
            <v>18:Q2</v>
          </cell>
          <cell r="B77">
            <v>4.1336874240518018</v>
          </cell>
          <cell r="C77">
            <v>2.7687538279680215</v>
          </cell>
          <cell r="D77">
            <v>2.2913056555435145</v>
          </cell>
          <cell r="E77">
            <v>1.6005637254335263</v>
          </cell>
          <cell r="F77">
            <v>1.653363478142585</v>
          </cell>
          <cell r="G77">
            <v>1.7215706098369163</v>
          </cell>
          <cell r="H77">
            <v>2.34071249197217</v>
          </cell>
        </row>
        <row r="78">
          <cell r="A78" t="str">
            <v>18:Q3</v>
          </cell>
          <cell r="B78">
            <v>4.1849704634704157</v>
          </cell>
          <cell r="C78">
            <v>2.6570783458701217</v>
          </cell>
          <cell r="D78">
            <v>2.2635417561761626</v>
          </cell>
          <cell r="E78">
            <v>1.5935299955551274</v>
          </cell>
          <cell r="F78">
            <v>1.6032718954102014</v>
          </cell>
          <cell r="G78">
            <v>1.6944827798314359</v>
          </cell>
          <cell r="H78">
            <v>2.3048902175277108</v>
          </cell>
        </row>
        <row r="79">
          <cell r="A79" t="str">
            <v>18:Q4</v>
          </cell>
          <cell r="B79">
            <v>4.0440250992067606</v>
          </cell>
          <cell r="C79">
            <v>2.9158656346684917</v>
          </cell>
          <cell r="D79">
            <v>2.3208237067741173</v>
          </cell>
          <cell r="E79">
            <v>1.5976836639654293</v>
          </cell>
          <cell r="F79">
            <v>1.5943858098779098</v>
          </cell>
          <cell r="G79">
            <v>1.8194254805339229</v>
          </cell>
          <cell r="H79">
            <v>2.3644682208139871</v>
          </cell>
        </row>
        <row r="80">
          <cell r="A80" t="str">
            <v>19:Q1</v>
          </cell>
          <cell r="B80">
            <v>4.1522681992081019</v>
          </cell>
          <cell r="C80">
            <v>3.0005702799269898</v>
          </cell>
          <cell r="D80">
            <v>2.2349545594097426</v>
          </cell>
          <cell r="E80">
            <v>1.6142007761018806</v>
          </cell>
          <cell r="F80">
            <v>1.4456915497777816</v>
          </cell>
          <cell r="G80">
            <v>1.8639081385828364</v>
          </cell>
          <cell r="H80">
            <v>2.3647404277185236</v>
          </cell>
        </row>
        <row r="81">
          <cell r="A81" t="str">
            <v>19:Q2</v>
          </cell>
          <cell r="B81">
            <v>3.9021066773129123</v>
          </cell>
          <cell r="C81">
            <v>2.9803831452825849</v>
          </cell>
          <cell r="D81">
            <v>2.2372793809639804</v>
          </cell>
          <cell r="E81">
            <v>1.6578663523942161</v>
          </cell>
          <cell r="F81">
            <v>1.4264679367534858</v>
          </cell>
          <cell r="G81">
            <v>1.9437601717348547</v>
          </cell>
          <cell r="H81">
            <v>2.3437914477418302</v>
          </cell>
        </row>
        <row r="82">
          <cell r="A82" t="str">
            <v>19:Q3</v>
          </cell>
          <cell r="B82">
            <v>3.8000704938491303</v>
          </cell>
          <cell r="C82">
            <v>2.9821877388602038</v>
          </cell>
          <cell r="D82">
            <v>2.3223277170422945</v>
          </cell>
          <cell r="E82">
            <v>1.6828766284882581</v>
          </cell>
          <cell r="F82">
            <v>1.4056635124196499</v>
          </cell>
          <cell r="G82">
            <v>1.7506981690273926</v>
          </cell>
          <cell r="H82">
            <v>2.3402812863702582</v>
          </cell>
        </row>
        <row r="83">
          <cell r="A83" t="str">
            <v>19:Q4</v>
          </cell>
          <cell r="B83">
            <v>4.0618794541196293</v>
          </cell>
          <cell r="C83">
            <v>2.8935294340523736</v>
          </cell>
          <cell r="D83">
            <v>2.3524366007754955</v>
          </cell>
          <cell r="E83">
            <v>1.6769811430885868</v>
          </cell>
          <cell r="F83">
            <v>1.3819502566669304</v>
          </cell>
          <cell r="G83">
            <v>1.8077806657179896</v>
          </cell>
          <cell r="H83">
            <v>2.3598596540122636</v>
          </cell>
        </row>
        <row r="84">
          <cell r="A84" t="str">
            <v>20:Q1</v>
          </cell>
          <cell r="B84">
            <v>4.1435648976214354</v>
          </cell>
          <cell r="C84">
            <v>2.7960735739021865</v>
          </cell>
          <cell r="D84">
            <v>2.4455155737678598</v>
          </cell>
          <cell r="E84">
            <v>1.7108794264847591</v>
          </cell>
          <cell r="F84">
            <v>1.3581511204797347</v>
          </cell>
          <cell r="G84">
            <v>1.7798491690155331</v>
          </cell>
          <cell r="H84">
            <v>2.3710117281898211</v>
          </cell>
        </row>
        <row r="85">
          <cell r="A85" t="str">
            <v>20:Q2</v>
          </cell>
          <cell r="B85">
            <v>4.0984107022894474</v>
          </cell>
          <cell r="C85">
            <v>2.6424009287029477</v>
          </cell>
          <cell r="D85">
            <v>2.3066933056798788</v>
          </cell>
          <cell r="E85">
            <v>1.6534026566985252</v>
          </cell>
          <cell r="F85">
            <v>1.2747229796211106</v>
          </cell>
          <cell r="G85">
            <v>1.6276723274014331</v>
          </cell>
          <cell r="H85">
            <v>2.2641829728314491</v>
          </cell>
        </row>
        <row r="86">
          <cell r="A86" t="str">
            <v>20:Q3</v>
          </cell>
          <cell r="B86">
            <v>3.8137898458376047</v>
          </cell>
          <cell r="C86">
            <v>2.4207105943007492</v>
          </cell>
          <cell r="D86">
            <v>2.0736474248928709</v>
          </cell>
          <cell r="E86">
            <v>1.542563217070567</v>
          </cell>
          <cell r="F86">
            <v>1.1577006065693256</v>
          </cell>
          <cell r="G86">
            <v>1.6219429671745167</v>
          </cell>
          <cell r="H86">
            <v>2.0863294605827023</v>
          </cell>
        </row>
        <row r="87">
          <cell r="A87" t="str">
            <v>20:Q4</v>
          </cell>
          <cell r="B87">
            <v>3.2589497431298549</v>
          </cell>
          <cell r="C87">
            <v>2.1924360733594348</v>
          </cell>
          <cell r="D87">
            <v>1.8272053559981252</v>
          </cell>
          <cell r="E87">
            <v>1.3532986567716678</v>
          </cell>
          <cell r="F87">
            <v>1.0567812988994463</v>
          </cell>
          <cell r="G87">
            <v>1.451190973595395</v>
          </cell>
          <cell r="H87">
            <v>1.8441040574517458</v>
          </cell>
        </row>
        <row r="88">
          <cell r="A88" t="str">
            <v>21:Q1</v>
          </cell>
          <cell r="B88">
            <v>3.0723402369797328</v>
          </cell>
          <cell r="C88">
            <v>2.0276153204968863</v>
          </cell>
          <cell r="D88">
            <v>1.718865721151313</v>
          </cell>
          <cell r="E88">
            <v>1.2346391359964455</v>
          </cell>
          <cell r="F88">
            <v>0.99535348812056468</v>
          </cell>
          <cell r="G88">
            <v>1.3630765735857573</v>
          </cell>
          <cell r="H88">
            <v>1.7198190577410697</v>
          </cell>
        </row>
        <row r="89">
          <cell r="A89" t="str">
            <v>21:Q2</v>
          </cell>
          <cell r="B89">
            <v>2.7732403697913299</v>
          </cell>
          <cell r="C89">
            <v>1.98442982162111</v>
          </cell>
          <cell r="D89">
            <v>1.5761827889444899</v>
          </cell>
          <cell r="E89">
            <v>1.00578393945066</v>
          </cell>
          <cell r="F89">
            <v>1.0708679676400801</v>
          </cell>
          <cell r="G89">
            <v>1.38877951790111</v>
          </cell>
          <cell r="H89">
            <v>1.60714234320228</v>
          </cell>
        </row>
        <row r="90">
          <cell r="A90" t="str">
            <v>21:Q3</v>
          </cell>
          <cell r="B90">
            <v>2.714371037032119</v>
          </cell>
          <cell r="C90">
            <v>1.9934158014659815</v>
          </cell>
          <cell r="D90">
            <v>1.4964158669848133</v>
          </cell>
          <cell r="E90">
            <v>0.89060615435622537</v>
          </cell>
          <cell r="F90">
            <v>1.1535325540518762</v>
          </cell>
          <cell r="G90">
            <v>1.3010864962271</v>
          </cell>
          <cell r="H90">
            <v>1.5662678783603667</v>
          </cell>
        </row>
        <row r="91">
          <cell r="A91" t="str">
            <v>21:Q4</v>
          </cell>
          <cell r="B91">
            <v>2.9836986531989358</v>
          </cell>
          <cell r="C91">
            <v>1.9382586003714377</v>
          </cell>
          <cell r="D91">
            <v>1.3441837068218043</v>
          </cell>
          <cell r="E91">
            <v>0.89701015739928402</v>
          </cell>
          <cell r="F91">
            <v>1.1512846979578664</v>
          </cell>
          <cell r="G91">
            <v>1.2777187735296589</v>
          </cell>
          <cell r="H91">
            <v>1.5565536243732199</v>
          </cell>
        </row>
        <row r="92">
          <cell r="A92" t="str">
            <v>22:Q1</v>
          </cell>
          <cell r="B92">
            <v>2.99</v>
          </cell>
          <cell r="C92">
            <v>2.08</v>
          </cell>
          <cell r="D92">
            <v>1.35</v>
          </cell>
          <cell r="E92">
            <v>0.86</v>
          </cell>
          <cell r="F92">
            <v>1.25</v>
          </cell>
          <cell r="G92">
            <v>1.45</v>
          </cell>
          <cell r="H92">
            <v>1.61</v>
          </cell>
        </row>
        <row r="93">
          <cell r="A93" t="str">
            <v>22:Q2</v>
          </cell>
          <cell r="B93">
            <v>3.5889351432482881</v>
          </cell>
          <cell r="C93">
            <v>2.2980544296421401</v>
          </cell>
          <cell r="D93">
            <v>1.5023908125196235</v>
          </cell>
          <cell r="E93">
            <v>1.10707074380566</v>
          </cell>
          <cell r="F93">
            <v>1.1495727721336315</v>
          </cell>
          <cell r="G93">
            <v>1.4353957837497762</v>
          </cell>
          <cell r="H93">
            <v>1.8101195459449153</v>
          </cell>
        </row>
        <row r="94">
          <cell r="A94" t="str">
            <v>22:Q3</v>
          </cell>
          <cell r="B94">
            <v>4.0428447974783355</v>
          </cell>
          <cell r="C94">
            <v>2.5455663587491606</v>
          </cell>
          <cell r="D94">
            <v>1.743854806080531</v>
          </cell>
          <cell r="E94">
            <v>1.1580958330931024</v>
          </cell>
          <cell r="F94">
            <v>1.1700903731356231</v>
          </cell>
          <cell r="G94">
            <v>1.7177339632788058</v>
          </cell>
          <cell r="H94">
            <v>2.0170869225174184</v>
          </cell>
        </row>
        <row r="95">
          <cell r="A95" t="str">
            <v>22:Q4</v>
          </cell>
          <cell r="B95">
            <v>4.2827477415056014</v>
          </cell>
          <cell r="C95">
            <v>2.9152911610169285</v>
          </cell>
          <cell r="D95">
            <v>1.9800918782492487</v>
          </cell>
          <cell r="E95">
            <v>1.2136148883575943</v>
          </cell>
          <cell r="F95">
            <v>1.2945661017014081</v>
          </cell>
          <cell r="G95">
            <v>1.7205079301818207</v>
          </cell>
          <cell r="H95">
            <v>2.2175773435966324</v>
          </cell>
        </row>
        <row r="96">
          <cell r="A96" t="str">
            <v>23:Q1</v>
          </cell>
          <cell r="B96">
            <v>4.5481889147563139</v>
          </cell>
          <cell r="C96">
            <v>3.0610526931922775</v>
          </cell>
          <cell r="D96">
            <v>2.0698877111755505</v>
          </cell>
          <cell r="E96">
            <v>1.3543886222846719</v>
          </cell>
          <cell r="F96">
            <v>1.1752975874942007</v>
          </cell>
          <cell r="G96">
            <v>1.8081572901954355</v>
          </cell>
          <cell r="H96">
            <v>2.3296774056982374</v>
          </cell>
        </row>
        <row r="97">
          <cell r="A97" t="str">
            <v>23:Q2</v>
          </cell>
          <cell r="B97">
            <v>4.3754331840310527</v>
          </cell>
          <cell r="C97">
            <v>3.3677087707931355</v>
          </cell>
          <cell r="D97">
            <v>2.1119024100832231</v>
          </cell>
          <cell r="E97">
            <v>1.4004468006848534</v>
          </cell>
          <cell r="F97">
            <v>1.2737834782870336</v>
          </cell>
          <cell r="G97">
            <v>1.8051652615610998</v>
          </cell>
          <cell r="H97">
            <v>2.4103101832168008</v>
          </cell>
        </row>
        <row r="98">
          <cell r="A98" t="str">
            <v>23:Q3</v>
          </cell>
          <cell r="B98">
            <v>4.6867063949192733</v>
          </cell>
          <cell r="C98">
            <v>3.5421193048464561</v>
          </cell>
          <cell r="D98">
            <v>2.2010366561950057</v>
          </cell>
          <cell r="E98">
            <v>1.548069163901729</v>
          </cell>
          <cell r="F98">
            <v>1.2350828713842379</v>
          </cell>
          <cell r="G98">
            <v>1.7466471733750384</v>
          </cell>
          <cell r="H98">
            <v>2.5311179157272758</v>
          </cell>
        </row>
        <row r="99">
          <cell r="A99" t="str">
            <v>23:Q4</v>
          </cell>
          <cell r="B99">
            <v>4.7890405660011437</v>
          </cell>
          <cell r="C99">
            <v>3.6057155676155297</v>
          </cell>
          <cell r="D99">
            <v>2.4074911805647061</v>
          </cell>
          <cell r="E99">
            <v>1.6594406103247219</v>
          </cell>
          <cell r="F99">
            <v>1.3935294821903155</v>
          </cell>
          <cell r="G99">
            <v>1.8915622842803279</v>
          </cell>
          <cell r="H99">
            <v>2.6609141192218821</v>
          </cell>
        </row>
        <row r="100">
          <cell r="A100" t="str">
            <v>24:Q1</v>
          </cell>
          <cell r="B100">
            <v>4.9186200439856851</v>
          </cell>
          <cell r="C100">
            <v>3.6690551997582097</v>
          </cell>
          <cell r="D100">
            <v>2.5289571121451413</v>
          </cell>
          <cell r="E100">
            <v>1.8026570196560181</v>
          </cell>
          <cell r="F100">
            <v>1.5651746944788336</v>
          </cell>
          <cell r="G100">
            <v>1.9923029791247326</v>
          </cell>
          <cell r="H100">
            <v>2.7797549525229259</v>
          </cell>
        </row>
        <row r="101">
          <cell r="A101" t="str">
            <v>24:Q2</v>
          </cell>
          <cell r="B101">
            <v>5.0491275732662206</v>
          </cell>
          <cell r="C101">
            <v>3.6161239501127387</v>
          </cell>
          <cell r="D101">
            <v>2.8436210423043207</v>
          </cell>
          <cell r="E101">
            <v>1.748813325244726</v>
          </cell>
          <cell r="F101">
            <v>1.7733507070243877</v>
          </cell>
          <cell r="G101">
            <v>2.1438644759059393</v>
          </cell>
          <cell r="H101">
            <v>2.8833877160956178</v>
          </cell>
        </row>
        <row r="102">
          <cell r="A102" t="str">
            <v>24:Q3</v>
          </cell>
          <cell r="B102">
            <v>4.8634128283517306</v>
          </cell>
          <cell r="C102">
            <v>3.5973040074732614</v>
          </cell>
          <cell r="D102">
            <v>2.8327720605460542</v>
          </cell>
          <cell r="E102">
            <v>1.9353110097269615</v>
          </cell>
          <cell r="F102">
            <v>1.7952656379715766</v>
          </cell>
          <cell r="G102">
            <v>2.2257990641576688</v>
          </cell>
          <cell r="H102">
            <v>2.8992105914002946</v>
          </cell>
        </row>
        <row r="103">
          <cell r="A103" t="str">
            <v>24:Q4</v>
          </cell>
          <cell r="B103">
            <v>4.972333209545881</v>
          </cell>
          <cell r="C103">
            <v>3.7524330529333296</v>
          </cell>
          <cell r="D103">
            <v>2.8641687292089233</v>
          </cell>
          <cell r="E103">
            <v>2.0488802434216993</v>
          </cell>
          <cell r="F103">
            <v>1.6887731056958832</v>
          </cell>
          <cell r="G103">
            <v>2.2175161399748391</v>
          </cell>
          <cell r="H103">
            <v>2.9613280854201425</v>
          </cell>
        </row>
        <row r="104">
          <cell r="A104" t="str">
            <v>25:Q1</v>
          </cell>
          <cell r="B104">
            <v>4.8333338663979442</v>
          </cell>
          <cell r="C104">
            <v>3.8424149019183078</v>
          </cell>
          <cell r="D104">
            <v>2.9405183839484086</v>
          </cell>
          <cell r="E104">
            <v>1.9735297795248825</v>
          </cell>
          <cell r="F104">
            <v>1.6400040134731977</v>
          </cell>
          <cell r="G104">
            <v>1.9747389719120882</v>
          </cell>
          <cell r="H104">
            <v>2.9380078026839009</v>
          </cell>
        </row>
        <row r="105">
          <cell r="A105" t="str">
            <v>25:Q2</v>
          </cell>
          <cell r="B105">
            <v>4.9013552792046324</v>
          </cell>
          <cell r="C105">
            <v>3.9647262169865001</v>
          </cell>
          <cell r="D105">
            <v>2.8135499852088133</v>
          </cell>
          <cell r="E105">
            <v>2.0773269840910968</v>
          </cell>
          <cell r="F105">
            <v>1.4296911373645449</v>
          </cell>
          <cell r="G105">
            <v>2.0030377258707115</v>
          </cell>
          <cell r="H105">
            <v>2.9351957719199286</v>
          </cell>
        </row>
        <row r="106">
          <cell r="A106" t="str">
            <v>25:Q3</v>
          </cell>
          <cell r="B106">
            <v>4.8608104372091043</v>
          </cell>
          <cell r="C106">
            <v>4.1143472051525727</v>
          </cell>
          <cell r="D106">
            <v>2.9118371588959433</v>
          </cell>
          <cell r="E106">
            <v>2.0802119378612294</v>
          </cell>
          <cell r="F106">
            <v>1.5245444530586632</v>
          </cell>
          <cell r="G106">
            <v>1.9470949550037926</v>
          </cell>
          <cell r="H106">
            <v>2.9893445071001823</v>
          </cell>
        </row>
        <row r="107">
          <cell r="A107" t="str">
            <v>25:Q4</v>
          </cell>
          <cell r="B107">
            <v>4.7322833158005935</v>
          </cell>
          <cell r="C107">
            <v>3.9575002615624881</v>
          </cell>
          <cell r="D107">
            <v>2.8036727720992061</v>
          </cell>
          <cell r="E107">
            <v>2.1637840044868857</v>
          </cell>
          <cell r="F107">
            <v>1.5701137065339335</v>
          </cell>
          <cell r="G107">
            <v>2.1483966188288264</v>
          </cell>
          <cell r="H107">
            <v>2.951756407975155</v>
          </cell>
        </row>
        <row r="108">
          <cell r="A108" t="str">
            <v>26:Q1</v>
          </cell>
          <cell r="B108">
            <v>4.8753091003468274</v>
          </cell>
          <cell r="C108">
            <v>3.8904123857054453</v>
          </cell>
          <cell r="D108">
            <v>2.7526147938141876</v>
          </cell>
          <cell r="E108">
            <v>2.16964819146818</v>
          </cell>
          <cell r="F108">
            <v>1.6455534782597969</v>
          </cell>
          <cell r="G108">
            <v>2.3553040273027843</v>
          </cell>
          <cell r="H108">
            <v>2.969746555182716</v>
          </cell>
        </row>
      </sheetData>
      <sheetData sheetId="46" refreshError="1"/>
      <sheetData sheetId="47">
        <row r="1">
          <cell r="A1" t="str">
            <v>Transition into Serious Delinquency (90+) for Credit Cards by Age</v>
          </cell>
        </row>
        <row r="2">
          <cell r="A2" t="str">
            <v>Percent</v>
          </cell>
        </row>
        <row r="3">
          <cell r="B3" t="str">
            <v>18-29</v>
          </cell>
          <cell r="C3" t="str">
            <v>30-39</v>
          </cell>
          <cell r="D3" t="str">
            <v>40-49</v>
          </cell>
          <cell r="E3" t="str">
            <v>50-59</v>
          </cell>
          <cell r="F3" t="str">
            <v>60-69</v>
          </cell>
          <cell r="G3" t="str">
            <v>70+</v>
          </cell>
          <cell r="H3" t="str">
            <v>all</v>
          </cell>
        </row>
        <row r="4">
          <cell r="A4" t="str">
            <v>00:Q1</v>
          </cell>
          <cell r="B4">
            <v>9.6310788492725656</v>
          </cell>
          <cell r="C4">
            <v>6.07939875335701</v>
          </cell>
          <cell r="D4">
            <v>4.6350415362457191</v>
          </cell>
          <cell r="E4">
            <v>4.3899648767552666</v>
          </cell>
          <cell r="F4">
            <v>3.70751393503551</v>
          </cell>
          <cell r="G4">
            <v>5.9446356592593936</v>
          </cell>
          <cell r="H4">
            <v>5.3671568125972309</v>
          </cell>
        </row>
        <row r="5">
          <cell r="A5" t="str">
            <v>00:Q2</v>
          </cell>
          <cell r="B5">
            <v>10.063751280003149</v>
          </cell>
          <cell r="C5">
            <v>6.6575666423183701</v>
          </cell>
          <cell r="D5">
            <v>4.9646643436119966</v>
          </cell>
          <cell r="E5">
            <v>4.2335165757794817</v>
          </cell>
          <cell r="F5">
            <v>3.3959655346158018</v>
          </cell>
          <cell r="G5">
            <v>7.0050720784116685</v>
          </cell>
          <cell r="H5">
            <v>5.6166369356055137</v>
          </cell>
        </row>
        <row r="6">
          <cell r="A6" t="str">
            <v>00:Q3</v>
          </cell>
          <cell r="B6">
            <v>10.550870200675801</v>
          </cell>
          <cell r="C6">
            <v>6.3677698374144445</v>
          </cell>
          <cell r="D6">
            <v>4.7968515696315235</v>
          </cell>
          <cell r="E6">
            <v>4.0106195398568705</v>
          </cell>
          <cell r="F6">
            <v>3.0763811384048672</v>
          </cell>
          <cell r="G6">
            <v>6.3743808361641809</v>
          </cell>
          <cell r="H6">
            <v>5.417267945075678</v>
          </cell>
        </row>
        <row r="7">
          <cell r="A7" t="str">
            <v>00:Q4</v>
          </cell>
          <cell r="B7">
            <v>10.893030833599779</v>
          </cell>
          <cell r="C7">
            <v>6.6711920276161729</v>
          </cell>
          <cell r="D7">
            <v>5.0202539126551393</v>
          </cell>
          <cell r="E7">
            <v>4.0306453759646654</v>
          </cell>
          <cell r="F7">
            <v>3.7005482810637256</v>
          </cell>
          <cell r="G7">
            <v>6.6196322901950415</v>
          </cell>
          <cell r="H7">
            <v>5.6618259834906981</v>
          </cell>
        </row>
        <row r="8">
          <cell r="A8" t="str">
            <v>01:Q1</v>
          </cell>
          <cell r="B8">
            <v>11.592441044354269</v>
          </cell>
          <cell r="C8">
            <v>7.2453411805709464</v>
          </cell>
          <cell r="D8">
            <v>5.3906311894908852</v>
          </cell>
          <cell r="E8">
            <v>4.1522531082747847</v>
          </cell>
          <cell r="F8">
            <v>3.9065794876941617</v>
          </cell>
          <cell r="G8">
            <v>6.957026285552578</v>
          </cell>
          <cell r="H8">
            <v>6.0339841169052999</v>
          </cell>
        </row>
        <row r="9">
          <cell r="A9" t="str">
            <v>01:Q2</v>
          </cell>
          <cell r="B9">
            <v>11.893033749712574</v>
          </cell>
          <cell r="C9">
            <v>7.4631595561008233</v>
          </cell>
          <cell r="D9">
            <v>5.6991043699084543</v>
          </cell>
          <cell r="E9">
            <v>4.4208987188625439</v>
          </cell>
          <cell r="F9">
            <v>3.9954042660191784</v>
          </cell>
          <cell r="G9">
            <v>6.7836479354125956</v>
          </cell>
          <cell r="H9">
            <v>6.248996485840884</v>
          </cell>
        </row>
        <row r="10">
          <cell r="A10" t="str">
            <v>01:Q3</v>
          </cell>
          <cell r="B10">
            <v>12.472955638182501</v>
          </cell>
          <cell r="C10">
            <v>8.1917864010862083</v>
          </cell>
          <cell r="D10">
            <v>6.5607965143976292</v>
          </cell>
          <cell r="E10">
            <v>4.7675086127692961</v>
          </cell>
          <cell r="F10">
            <v>4.5591646932092491</v>
          </cell>
          <cell r="G10">
            <v>6.8272688853322423</v>
          </cell>
          <cell r="H10">
            <v>6.8444902054540986</v>
          </cell>
        </row>
        <row r="11">
          <cell r="A11" t="str">
            <v>01:Q4</v>
          </cell>
          <cell r="B11">
            <v>12.629941985278956</v>
          </cell>
          <cell r="C11">
            <v>8.3347765971646393</v>
          </cell>
          <cell r="D11">
            <v>6.9316694421198717</v>
          </cell>
          <cell r="E11">
            <v>5.1465875306909625</v>
          </cell>
          <cell r="F11">
            <v>4.4497028451269767</v>
          </cell>
          <cell r="G11">
            <v>6.8140756790935146</v>
          </cell>
          <cell r="H11">
            <v>7.0652580626775388</v>
          </cell>
        </row>
        <row r="12">
          <cell r="A12" t="str">
            <v>02:Q1</v>
          </cell>
          <cell r="B12">
            <v>12.866624789396919</v>
          </cell>
          <cell r="C12">
            <v>8.8434281365488854</v>
          </cell>
          <cell r="D12">
            <v>7.4745108347049758</v>
          </cell>
          <cell r="E12">
            <v>5.8592908261489951</v>
          </cell>
          <cell r="F12">
            <v>4.9039181722227481</v>
          </cell>
          <cell r="G12">
            <v>7.2848731630926995</v>
          </cell>
          <cell r="H12">
            <v>7.5808045026094506</v>
          </cell>
        </row>
        <row r="13">
          <cell r="A13" t="str">
            <v>02:Q2</v>
          </cell>
          <cell r="B13">
            <v>13.628262712103368</v>
          </cell>
          <cell r="C13">
            <v>9.0013639181905525</v>
          </cell>
          <cell r="D13">
            <v>7.8678147349045284</v>
          </cell>
          <cell r="E13">
            <v>6.2504532749891357</v>
          </cell>
          <cell r="F13">
            <v>5.4848878729827204</v>
          </cell>
          <cell r="G13">
            <v>6.4506329663286914</v>
          </cell>
          <cell r="H13">
            <v>7.8955371168057438</v>
          </cell>
        </row>
        <row r="14">
          <cell r="A14" t="str">
            <v>02:Q3</v>
          </cell>
          <cell r="B14">
            <v>13.998701895709065</v>
          </cell>
          <cell r="C14">
            <v>9.1978977108589568</v>
          </cell>
          <cell r="D14">
            <v>7.991227378937098</v>
          </cell>
          <cell r="E14">
            <v>6.6734064387236227</v>
          </cell>
          <cell r="F14">
            <v>5.551086409170618</v>
          </cell>
          <cell r="G14">
            <v>7.4017197532285985</v>
          </cell>
          <cell r="H14">
            <v>8.1620448937716468</v>
          </cell>
        </row>
        <row r="15">
          <cell r="A15" t="str">
            <v>02:Q4</v>
          </cell>
          <cell r="B15">
            <v>14.502323834895034</v>
          </cell>
          <cell r="C15">
            <v>9.7485491877270203</v>
          </cell>
          <cell r="D15">
            <v>8.2034312215757232</v>
          </cell>
          <cell r="E15">
            <v>6.7150987990367188</v>
          </cell>
          <cell r="F15">
            <v>5.9933437691643414</v>
          </cell>
          <cell r="G15">
            <v>7.3563022324170353</v>
          </cell>
          <cell r="H15">
            <v>8.4302377352403717</v>
          </cell>
        </row>
        <row r="16">
          <cell r="A16" t="str">
            <v>03:Q1</v>
          </cell>
          <cell r="B16">
            <v>14.411990591721841</v>
          </cell>
          <cell r="C16">
            <v>9.4796076847994755</v>
          </cell>
          <cell r="D16">
            <v>8.0010338181415044</v>
          </cell>
          <cell r="E16">
            <v>6.4725982786975651</v>
          </cell>
          <cell r="F16">
            <v>6.4676064435707339</v>
          </cell>
          <cell r="G16">
            <v>6.9823140866493896</v>
          </cell>
          <cell r="H16">
            <v>8.2716987711536234</v>
          </cell>
        </row>
        <row r="17">
          <cell r="A17" t="str">
            <v>03:Q2</v>
          </cell>
          <cell r="B17">
            <v>13.753033785619037</v>
          </cell>
          <cell r="C17">
            <v>9.7881689259328812</v>
          </cell>
          <cell r="D17">
            <v>8.1418215020043352</v>
          </cell>
          <cell r="E17">
            <v>6.5068226930172663</v>
          </cell>
          <cell r="F17">
            <v>7.0555107314741923</v>
          </cell>
          <cell r="G17">
            <v>7.3953687172682612</v>
          </cell>
          <cell r="H17">
            <v>8.4054541151324411</v>
          </cell>
        </row>
        <row r="18">
          <cell r="A18" t="str">
            <v>03:Q3</v>
          </cell>
          <cell r="B18">
            <v>12.993773321242092</v>
          </cell>
          <cell r="C18">
            <v>9.370243519935487</v>
          </cell>
          <cell r="D18">
            <v>8.0241129283788037</v>
          </cell>
          <cell r="E18">
            <v>6.3438793047931039</v>
          </cell>
          <cell r="F18">
            <v>7.1879092740422204</v>
          </cell>
          <cell r="G18">
            <v>7.2432087471364719</v>
          </cell>
          <cell r="H18">
            <v>8.170863890220474</v>
          </cell>
        </row>
        <row r="19">
          <cell r="A19" t="str">
            <v>03:Q4</v>
          </cell>
          <cell r="B19">
            <v>12.269960917224179</v>
          </cell>
          <cell r="C19">
            <v>9.2763514617809815</v>
          </cell>
          <cell r="D19">
            <v>8.0806887047143512</v>
          </cell>
          <cell r="E19">
            <v>6.304458520623303</v>
          </cell>
          <cell r="F19">
            <v>6.901378266086942</v>
          </cell>
          <cell r="G19">
            <v>7.4956450909468062</v>
          </cell>
          <cell r="H19">
            <v>8.060260499822947</v>
          </cell>
        </row>
        <row r="20">
          <cell r="A20" t="str">
            <v>04:Q1</v>
          </cell>
          <cell r="B20">
            <v>11.438863869572675</v>
          </cell>
          <cell r="C20">
            <v>8.9554051021571333</v>
          </cell>
          <cell r="D20">
            <v>7.8552127497041022</v>
          </cell>
          <cell r="E20">
            <v>6.3938989597337574</v>
          </cell>
          <cell r="F20">
            <v>6.207359387848765</v>
          </cell>
          <cell r="G20">
            <v>7.2542138539184409</v>
          </cell>
          <cell r="H20">
            <v>7.7745351086052779</v>
          </cell>
        </row>
        <row r="21">
          <cell r="A21" t="str">
            <v>04:Q2</v>
          </cell>
          <cell r="B21">
            <v>11.461688076822588</v>
          </cell>
          <cell r="C21">
            <v>8.3718270606126097</v>
          </cell>
          <cell r="D21">
            <v>7.4094164621718281</v>
          </cell>
          <cell r="E21">
            <v>6.0442455589256001</v>
          </cell>
          <cell r="F21">
            <v>5.5802198753785985</v>
          </cell>
          <cell r="G21">
            <v>6.9709098775471823</v>
          </cell>
          <cell r="H21">
            <v>7.3390470189787393</v>
          </cell>
        </row>
        <row r="22">
          <cell r="A22" t="str">
            <v>04:Q3</v>
          </cell>
          <cell r="B22">
            <v>11.298465118869643</v>
          </cell>
          <cell r="C22">
            <v>8.1525506086267256</v>
          </cell>
          <cell r="D22">
            <v>7.1156556346028133</v>
          </cell>
          <cell r="E22">
            <v>5.9507507728070612</v>
          </cell>
          <cell r="F22">
            <v>5.6807571436639428</v>
          </cell>
          <cell r="G22">
            <v>6.4147379527190571</v>
          </cell>
          <cell r="H22">
            <v>7.1376071974567772</v>
          </cell>
        </row>
        <row r="23">
          <cell r="A23" t="str">
            <v>04:Q4</v>
          </cell>
          <cell r="B23">
            <v>11.606894937414088</v>
          </cell>
          <cell r="C23">
            <v>8.1361507962062785</v>
          </cell>
          <cell r="D23">
            <v>6.8669979537472763</v>
          </cell>
          <cell r="E23">
            <v>5.8065756659901258</v>
          </cell>
          <cell r="F23">
            <v>5.5882782468188319</v>
          </cell>
          <cell r="G23">
            <v>5.9934180485702191</v>
          </cell>
          <cell r="H23">
            <v>7.0027756596416326</v>
          </cell>
        </row>
        <row r="24">
          <cell r="A24" t="str">
            <v>05:Q1</v>
          </cell>
          <cell r="B24">
            <v>11.489174080926547</v>
          </cell>
          <cell r="C24">
            <v>7.8116392163573396</v>
          </cell>
          <cell r="D24">
            <v>6.6149074897424303</v>
          </cell>
          <cell r="E24">
            <v>5.115401886108657</v>
          </cell>
          <cell r="F24">
            <v>5.0606261206257726</v>
          </cell>
          <cell r="G24">
            <v>6.3848755967517299</v>
          </cell>
          <cell r="H24">
            <v>6.6430273375998299</v>
          </cell>
        </row>
        <row r="25">
          <cell r="A25" t="str">
            <v>05:Q2</v>
          </cell>
          <cell r="B25">
            <v>11.264065113160388</v>
          </cell>
          <cell r="C25">
            <v>7.2374659530794059</v>
          </cell>
          <cell r="D25">
            <v>6.2687445192268836</v>
          </cell>
          <cell r="E25">
            <v>4.9467781076967494</v>
          </cell>
          <cell r="F25">
            <v>5.1048038209805693</v>
          </cell>
          <cell r="G25">
            <v>6.2028536409767296</v>
          </cell>
          <cell r="H25">
            <v>6.3627691940772921</v>
          </cell>
        </row>
        <row r="26">
          <cell r="A26" t="str">
            <v>05:Q3</v>
          </cell>
          <cell r="B26">
            <v>11.374051522024075</v>
          </cell>
          <cell r="C26">
            <v>7.3704800083973119</v>
          </cell>
          <cell r="D26">
            <v>5.9785879600213701</v>
          </cell>
          <cell r="E26">
            <v>4.8423758150366769</v>
          </cell>
          <cell r="F26">
            <v>5.0212671895841732</v>
          </cell>
          <cell r="G26">
            <v>6.2982659056785639</v>
          </cell>
          <cell r="H26">
            <v>6.2741187029657075</v>
          </cell>
        </row>
        <row r="27">
          <cell r="A27" t="str">
            <v>05:Q4</v>
          </cell>
          <cell r="B27">
            <v>10.128281972269368</v>
          </cell>
          <cell r="C27">
            <v>6.780751032734833</v>
          </cell>
          <cell r="D27">
            <v>5.5263140193131646</v>
          </cell>
          <cell r="E27">
            <v>4.3358276953682884</v>
          </cell>
          <cell r="F27">
            <v>4.8686081243202795</v>
          </cell>
          <cell r="G27">
            <v>6.5062115502814768</v>
          </cell>
          <cell r="H27">
            <v>5.7914034179202467</v>
          </cell>
        </row>
        <row r="28">
          <cell r="A28" t="str">
            <v>06:Q1</v>
          </cell>
          <cell r="B28">
            <v>9.7890337118830413</v>
          </cell>
          <cell r="C28">
            <v>6.4617874577735908</v>
          </cell>
          <cell r="D28">
            <v>5.2203102489837399</v>
          </cell>
          <cell r="E28">
            <v>3.9854391326687382</v>
          </cell>
          <cell r="F28">
            <v>4.9306172423014889</v>
          </cell>
          <cell r="G28">
            <v>6.2635899107791797</v>
          </cell>
          <cell r="H28">
            <v>5.5120998441751548</v>
          </cell>
        </row>
        <row r="29">
          <cell r="A29" t="str">
            <v>06:Q2</v>
          </cell>
          <cell r="B29">
            <v>9.8063676956125612</v>
          </cell>
          <cell r="C29">
            <v>6.6608902685102445</v>
          </cell>
          <cell r="D29">
            <v>5.238138071847211</v>
          </cell>
          <cell r="E29">
            <v>4.1285049424100668</v>
          </cell>
          <cell r="F29">
            <v>4.7021477606624291</v>
          </cell>
          <cell r="G29">
            <v>6.9712782138098479</v>
          </cell>
          <cell r="H29">
            <v>5.6099285587835741</v>
          </cell>
        </row>
        <row r="30">
          <cell r="A30" t="str">
            <v>06:Q3</v>
          </cell>
          <cell r="B30">
            <v>9.8384941982609107</v>
          </cell>
          <cell r="C30">
            <v>6.517526968668891</v>
          </cell>
          <cell r="D30">
            <v>5.386757690391641</v>
          </cell>
          <cell r="E30">
            <v>4.2397821958395596</v>
          </cell>
          <cell r="F30">
            <v>4.1861466023064207</v>
          </cell>
          <cell r="G30">
            <v>7.0843891838325526</v>
          </cell>
          <cell r="H30">
            <v>5.5942246379627321</v>
          </cell>
        </row>
        <row r="31">
          <cell r="A31" t="str">
            <v>06:Q4</v>
          </cell>
          <cell r="B31">
            <v>10.471415317951829</v>
          </cell>
          <cell r="C31">
            <v>6.7113281388397033</v>
          </cell>
          <cell r="D31">
            <v>5.7453313222782381</v>
          </cell>
          <cell r="E31">
            <v>4.6289811949321438</v>
          </cell>
          <cell r="F31">
            <v>3.898681427154739</v>
          </cell>
          <cell r="G31">
            <v>6.9298581596770257</v>
          </cell>
          <cell r="H31">
            <v>5.8305616706376444</v>
          </cell>
        </row>
        <row r="32">
          <cell r="A32" t="str">
            <v>07:Q1</v>
          </cell>
          <cell r="B32">
            <v>10.591587142350715</v>
          </cell>
          <cell r="C32">
            <v>6.9937829550506914</v>
          </cell>
          <cell r="D32">
            <v>6.1265675302892948</v>
          </cell>
          <cell r="E32">
            <v>5.2042793457669019</v>
          </cell>
          <cell r="F32">
            <v>4.1091359150159645</v>
          </cell>
          <cell r="G32">
            <v>7.0426331438966221</v>
          </cell>
          <cell r="H32">
            <v>6.1799344919184902</v>
          </cell>
        </row>
        <row r="33">
          <cell r="A33" t="str">
            <v>07:Q2</v>
          </cell>
          <cell r="B33">
            <v>10.434443211456641</v>
          </cell>
          <cell r="C33">
            <v>7.4853049282326429</v>
          </cell>
          <cell r="D33">
            <v>6.6472700720689923</v>
          </cell>
          <cell r="E33">
            <v>5.1636336217957979</v>
          </cell>
          <cell r="F33">
            <v>3.9646233932031643</v>
          </cell>
          <cell r="G33">
            <v>7.007689030223851</v>
          </cell>
          <cell r="H33">
            <v>6.3615046184357844</v>
          </cell>
        </row>
        <row r="34">
          <cell r="A34" t="str">
            <v>07:Q3</v>
          </cell>
          <cell r="B34">
            <v>10.943703587657382</v>
          </cell>
          <cell r="C34">
            <v>8.1878879988123181</v>
          </cell>
          <cell r="D34">
            <v>6.7546223476366167</v>
          </cell>
          <cell r="E34">
            <v>4.9993123165406281</v>
          </cell>
          <cell r="F34">
            <v>4.1749049854159228</v>
          </cell>
          <cell r="G34">
            <v>6.8417079359898807</v>
          </cell>
          <cell r="H34">
            <v>6.5255613421893806</v>
          </cell>
        </row>
        <row r="35">
          <cell r="A35" t="str">
            <v>07:Q4</v>
          </cell>
          <cell r="B35">
            <v>11.929464676436059</v>
          </cell>
          <cell r="C35">
            <v>8.7907637063800745</v>
          </cell>
          <cell r="D35">
            <v>6.6287218276842284</v>
          </cell>
          <cell r="E35">
            <v>5.082777453251297</v>
          </cell>
          <cell r="F35">
            <v>4.5519513700082141</v>
          </cell>
          <cell r="G35">
            <v>6.8081398988951545</v>
          </cell>
          <cell r="H35">
            <v>6.7460834402127992</v>
          </cell>
        </row>
        <row r="36">
          <cell r="A36" t="str">
            <v>08:Q1</v>
          </cell>
          <cell r="B36">
            <v>12.941700307898785</v>
          </cell>
          <cell r="C36">
            <v>9.526263029616727</v>
          </cell>
          <cell r="D36">
            <v>7.4399635965711752</v>
          </cell>
          <cell r="E36">
            <v>5.3445394403096955</v>
          </cell>
          <cell r="F36">
            <v>4.7333118352896371</v>
          </cell>
          <cell r="G36">
            <v>6.6894461721384513</v>
          </cell>
          <cell r="H36">
            <v>7.2674507761417564</v>
          </cell>
        </row>
        <row r="37">
          <cell r="A37" t="str">
            <v>08:Q2</v>
          </cell>
          <cell r="B37">
            <v>13.555626184616077</v>
          </cell>
          <cell r="C37">
            <v>10.14561359065039</v>
          </cell>
          <cell r="D37">
            <v>7.598346316746821</v>
          </cell>
          <cell r="E37">
            <v>5.7727050761025689</v>
          </cell>
          <cell r="F37">
            <v>5.3291575410141752</v>
          </cell>
          <cell r="G37">
            <v>6.7142243834954805</v>
          </cell>
          <cell r="H37">
            <v>7.6628054053780241</v>
          </cell>
        </row>
        <row r="38">
          <cell r="A38" t="str">
            <v>08:Q3</v>
          </cell>
          <cell r="B38">
            <v>13.961746494501167</v>
          </cell>
          <cell r="C38">
            <v>10.198479423574408</v>
          </cell>
          <cell r="D38">
            <v>8.0524325063192226</v>
          </cell>
          <cell r="E38">
            <v>6.5626531943821398</v>
          </cell>
          <cell r="F38">
            <v>5.9735542642857551</v>
          </cell>
          <cell r="G38">
            <v>6.9389807466341953</v>
          </cell>
          <cell r="H38">
            <v>8.130199784439796</v>
          </cell>
        </row>
        <row r="39">
          <cell r="A39" t="str">
            <v>08:Q4</v>
          </cell>
          <cell r="B39">
            <v>13.718713640940933</v>
          </cell>
          <cell r="C39">
            <v>10.644123645472385</v>
          </cell>
          <cell r="D39">
            <v>8.9886221336853218</v>
          </cell>
          <cell r="E39">
            <v>7.1927160233485345</v>
          </cell>
          <cell r="F39">
            <v>6.5891301218095029</v>
          </cell>
          <cell r="G39">
            <v>7.2618911535807111</v>
          </cell>
          <cell r="H39">
            <v>8.7050323455704071</v>
          </cell>
        </row>
        <row r="40">
          <cell r="A40" t="str">
            <v>09:Q1</v>
          </cell>
          <cell r="B40">
            <v>13.68489240401728</v>
          </cell>
          <cell r="C40">
            <v>11.625085149567802</v>
          </cell>
          <cell r="D40">
            <v>9.7274950336951402</v>
          </cell>
          <cell r="E40">
            <v>8.476049476227308</v>
          </cell>
          <cell r="F40">
            <v>7.0138131941435828</v>
          </cell>
          <cell r="G40">
            <v>8.7481012083490253</v>
          </cell>
          <cell r="H40">
            <v>9.5605054731420385</v>
          </cell>
        </row>
        <row r="41">
          <cell r="A41" t="str">
            <v>09:Q2</v>
          </cell>
          <cell r="B41">
            <v>13.761191515747617</v>
          </cell>
          <cell r="C41">
            <v>12.152532972009668</v>
          </cell>
          <cell r="D41">
            <v>10.813616225750659</v>
          </cell>
          <cell r="E41">
            <v>9.1803537174800418</v>
          </cell>
          <cell r="F41">
            <v>7.297452973776239</v>
          </cell>
          <cell r="G41">
            <v>9.2560343517359929</v>
          </cell>
          <cell r="H41">
            <v>10.195957081581691</v>
          </cell>
        </row>
        <row r="42">
          <cell r="A42" t="str">
            <v>09:Q3</v>
          </cell>
          <cell r="B42">
            <v>12.881523700660058</v>
          </cell>
          <cell r="C42">
            <v>12.91112812830141</v>
          </cell>
          <cell r="D42">
            <v>11.391919973285175</v>
          </cell>
          <cell r="E42">
            <v>9.4889549883802289</v>
          </cell>
          <cell r="F42">
            <v>7.4233617795040203</v>
          </cell>
          <cell r="G42">
            <v>9.3287745169992036</v>
          </cell>
          <cell r="H42">
            <v>10.507490634683595</v>
          </cell>
        </row>
        <row r="43">
          <cell r="A43" t="str">
            <v>09:Q4</v>
          </cell>
          <cell r="B43">
            <v>13.01852727624494</v>
          </cell>
          <cell r="C43">
            <v>13.235579683672816</v>
          </cell>
          <cell r="D43">
            <v>12.213118282585016</v>
          </cell>
          <cell r="E43">
            <v>9.9280342834690103</v>
          </cell>
          <cell r="F43">
            <v>7.6931376691285234</v>
          </cell>
          <cell r="G43">
            <v>9.7123396405147933</v>
          </cell>
          <cell r="H43">
            <v>10.957123664055146</v>
          </cell>
        </row>
        <row r="44">
          <cell r="A44" t="str">
            <v>10:Q1</v>
          </cell>
          <cell r="B44">
            <v>12.297467871229021</v>
          </cell>
          <cell r="C44">
            <v>12.802480016340207</v>
          </cell>
          <cell r="D44">
            <v>12.357383706431033</v>
          </cell>
          <cell r="E44">
            <v>9.6430025757209137</v>
          </cell>
          <cell r="F44">
            <v>8.2781179936631641</v>
          </cell>
          <cell r="G44">
            <v>8.7764229628528323</v>
          </cell>
          <cell r="H44">
            <v>10.800646557340688</v>
          </cell>
        </row>
        <row r="45">
          <cell r="A45" t="str">
            <v>10:Q2</v>
          </cell>
          <cell r="B45">
            <v>11.359978595051468</v>
          </cell>
          <cell r="C45">
            <v>12.207852834069111</v>
          </cell>
          <cell r="D45">
            <v>12.00733562972774</v>
          </cell>
          <cell r="E45">
            <v>9.8772296751755952</v>
          </cell>
          <cell r="F45">
            <v>8.5463151430484352</v>
          </cell>
          <cell r="G45">
            <v>8.6401364990085003</v>
          </cell>
          <cell r="H45">
            <v>10.634233398741824</v>
          </cell>
        </row>
        <row r="46">
          <cell r="A46" t="str">
            <v>10:Q3</v>
          </cell>
          <cell r="B46">
            <v>11.068918815949413</v>
          </cell>
          <cell r="C46">
            <v>11.136475199306897</v>
          </cell>
          <cell r="D46">
            <v>11.630374845414014</v>
          </cell>
          <cell r="E46">
            <v>9.4224055290919093</v>
          </cell>
          <cell r="F46">
            <v>8.715428869434783</v>
          </cell>
          <cell r="G46">
            <v>8.7198384016123764</v>
          </cell>
          <cell r="H46">
            <v>10.231101223469086</v>
          </cell>
        </row>
        <row r="47">
          <cell r="A47" t="str">
            <v>10:Q4</v>
          </cell>
          <cell r="B47">
            <v>9.4372397355377302</v>
          </cell>
          <cell r="C47">
            <v>10.45886473645781</v>
          </cell>
          <cell r="D47">
            <v>9.9491983545093721</v>
          </cell>
          <cell r="E47">
            <v>8.5393298842355634</v>
          </cell>
          <cell r="F47">
            <v>8.1707793967228266</v>
          </cell>
          <cell r="G47">
            <v>8.3477719723354475</v>
          </cell>
          <cell r="H47">
            <v>9.2052622122152119</v>
          </cell>
        </row>
        <row r="48">
          <cell r="A48" t="str">
            <v>11:Q1</v>
          </cell>
          <cell r="B48">
            <v>8.2859393690418148</v>
          </cell>
          <cell r="C48">
            <v>8.9910976956945312</v>
          </cell>
          <cell r="D48">
            <v>8.4178572964006388</v>
          </cell>
          <cell r="E48">
            <v>7.4240249674486645</v>
          </cell>
          <cell r="F48">
            <v>7.1437983339083768</v>
          </cell>
          <cell r="G48">
            <v>7.9996008075627207</v>
          </cell>
          <cell r="H48">
            <v>7.9892549926383021</v>
          </cell>
        </row>
        <row r="49">
          <cell r="A49" t="str">
            <v>11:Q2</v>
          </cell>
          <cell r="B49">
            <v>7.6519365346391144</v>
          </cell>
          <cell r="C49">
            <v>7.9172145473474549</v>
          </cell>
          <cell r="D49">
            <v>6.9897216346966768</v>
          </cell>
          <cell r="E49">
            <v>6.2451476811538793</v>
          </cell>
          <cell r="F49">
            <v>6.4689370115295883</v>
          </cell>
          <cell r="G49">
            <v>7.1320954438233288</v>
          </cell>
          <cell r="H49">
            <v>6.9045262142904713</v>
          </cell>
        </row>
        <row r="50">
          <cell r="A50" t="str">
            <v>11:Q3</v>
          </cell>
          <cell r="B50">
            <v>6.5920128440870833</v>
          </cell>
          <cell r="C50">
            <v>7.2015548311609985</v>
          </cell>
          <cell r="D50">
            <v>6.2941693300051673</v>
          </cell>
          <cell r="E50">
            <v>5.7450519151424029</v>
          </cell>
          <cell r="F50">
            <v>5.8464507226813254</v>
          </cell>
          <cell r="G50">
            <v>6.6291156607147848</v>
          </cell>
          <cell r="H50">
            <v>6.2614382321733153</v>
          </cell>
        </row>
        <row r="51">
          <cell r="A51" t="str">
            <v>11:Q4</v>
          </cell>
          <cell r="B51">
            <v>6.3286928621570846</v>
          </cell>
          <cell r="C51">
            <v>5.9141584891690311</v>
          </cell>
          <cell r="D51">
            <v>6.3735226808566008</v>
          </cell>
          <cell r="E51">
            <v>5.5499506632099065</v>
          </cell>
          <cell r="F51">
            <v>5.5282357712593893</v>
          </cell>
          <cell r="G51">
            <v>5.7960919543343064</v>
          </cell>
          <cell r="H51">
            <v>5.8704219056994633</v>
          </cell>
        </row>
        <row r="52">
          <cell r="A52" t="str">
            <v>12:Q1</v>
          </cell>
          <cell r="B52">
            <v>6.113420466776911</v>
          </cell>
          <cell r="C52">
            <v>5.5855638242373455</v>
          </cell>
          <cell r="D52">
            <v>5.7687560660901287</v>
          </cell>
          <cell r="E52">
            <v>4.9809002680810028</v>
          </cell>
          <cell r="F52">
            <v>5.1722169959233542</v>
          </cell>
          <cell r="G52">
            <v>5.4660528327940643</v>
          </cell>
          <cell r="H52">
            <v>5.4110636064352144</v>
          </cell>
        </row>
        <row r="53">
          <cell r="A53" t="str">
            <v>12:Q2</v>
          </cell>
          <cell r="B53">
            <v>5.8676355874865376</v>
          </cell>
          <cell r="C53">
            <v>5.6379407799138761</v>
          </cell>
          <cell r="D53">
            <v>5.5388014913490196</v>
          </cell>
          <cell r="E53">
            <v>4.7402693810715038</v>
          </cell>
          <cell r="F53">
            <v>4.7086315251325939</v>
          </cell>
          <cell r="G53">
            <v>5.3792782869497522</v>
          </cell>
          <cell r="H53">
            <v>5.1919065482252256</v>
          </cell>
        </row>
        <row r="54">
          <cell r="A54" t="str">
            <v>12:Q3</v>
          </cell>
          <cell r="B54">
            <v>6.0726354136097811</v>
          </cell>
          <cell r="C54">
            <v>5.4411002916615585</v>
          </cell>
          <cell r="D54">
            <v>4.9133022431369824</v>
          </cell>
          <cell r="E54">
            <v>4.2731595154768858</v>
          </cell>
          <cell r="F54">
            <v>4.451024809519641</v>
          </cell>
          <cell r="G54">
            <v>5.5082265871626745</v>
          </cell>
          <cell r="H54">
            <v>4.853946950210049</v>
          </cell>
        </row>
        <row r="55">
          <cell r="A55" t="str">
            <v>12:Q4</v>
          </cell>
          <cell r="B55">
            <v>6.3211826819113863</v>
          </cell>
          <cell r="C55">
            <v>5.210259575936222</v>
          </cell>
          <cell r="D55">
            <v>4.3843190973909349</v>
          </cell>
          <cell r="E55">
            <v>3.8416452320720271</v>
          </cell>
          <cell r="F55">
            <v>3.946819568672888</v>
          </cell>
          <cell r="G55">
            <v>5.7425023566816797</v>
          </cell>
          <cell r="H55">
            <v>4.5084711605099574</v>
          </cell>
        </row>
        <row r="56">
          <cell r="A56" t="str">
            <v>13:Q1</v>
          </cell>
          <cell r="B56">
            <v>6.3249485276221842</v>
          </cell>
          <cell r="C56">
            <v>5.2412869223623471</v>
          </cell>
          <cell r="D56">
            <v>4.2874583720468111</v>
          </cell>
          <cell r="E56">
            <v>3.9712828894010954</v>
          </cell>
          <cell r="F56">
            <v>3.5535562775758001</v>
          </cell>
          <cell r="G56">
            <v>5.2851312637743364</v>
          </cell>
          <cell r="H56">
            <v>4.4135600581921652</v>
          </cell>
        </row>
        <row r="57">
          <cell r="A57" t="str">
            <v>13:Q2</v>
          </cell>
          <cell r="B57">
            <v>6.2081851520915246</v>
          </cell>
          <cell r="C57">
            <v>4.7531418701678056</v>
          </cell>
          <cell r="D57">
            <v>4.3391479782323303</v>
          </cell>
          <cell r="E57">
            <v>3.8215864182572834</v>
          </cell>
          <cell r="F57">
            <v>3.4710519150503232</v>
          </cell>
          <cell r="G57">
            <v>5.2262536080107083</v>
          </cell>
          <cell r="H57">
            <v>4.2822145227736534</v>
          </cell>
        </row>
        <row r="58">
          <cell r="A58" t="str">
            <v>13:Q3</v>
          </cell>
          <cell r="B58">
            <v>5.6785713975254799</v>
          </cell>
          <cell r="C58">
            <v>4.4951628523418421</v>
          </cell>
          <cell r="D58">
            <v>4.2881792894481965</v>
          </cell>
          <cell r="E58">
            <v>3.6500495228166887</v>
          </cell>
          <cell r="F58">
            <v>3.0033808308063485</v>
          </cell>
          <cell r="G58">
            <v>4.8108050533005988</v>
          </cell>
          <cell r="H58">
            <v>4.0295090249080046</v>
          </cell>
        </row>
        <row r="59">
          <cell r="A59" t="str">
            <v>13:Q4</v>
          </cell>
          <cell r="B59">
            <v>5.3742678087739488</v>
          </cell>
          <cell r="C59">
            <v>4.5919415082012582</v>
          </cell>
          <cell r="D59">
            <v>4.118776377845812</v>
          </cell>
          <cell r="E59">
            <v>3.7186189242614769</v>
          </cell>
          <cell r="F59">
            <v>2.7555042279880531</v>
          </cell>
          <cell r="G59">
            <v>4.28325762846986</v>
          </cell>
          <cell r="H59">
            <v>3.909489890147221</v>
          </cell>
        </row>
        <row r="60">
          <cell r="A60" t="str">
            <v>14:Q1</v>
          </cell>
          <cell r="B60">
            <v>5.590446633667745</v>
          </cell>
          <cell r="C60">
            <v>4.5337620725836771</v>
          </cell>
          <cell r="D60">
            <v>3.9909343976802516</v>
          </cell>
          <cell r="E60">
            <v>3.7592136671213998</v>
          </cell>
          <cell r="F60">
            <v>2.606579969483541</v>
          </cell>
          <cell r="G60">
            <v>4.3532501578325018</v>
          </cell>
          <cell r="H60">
            <v>3.8697390892719388</v>
          </cell>
        </row>
        <row r="61">
          <cell r="A61" t="str">
            <v>14:Q2</v>
          </cell>
          <cell r="B61">
            <v>5.6082166227787358</v>
          </cell>
          <cell r="C61">
            <v>4.6076887052966216</v>
          </cell>
          <cell r="D61">
            <v>3.8562072874629454</v>
          </cell>
          <cell r="E61">
            <v>3.6184440813362384</v>
          </cell>
          <cell r="F61">
            <v>2.3774000581089587</v>
          </cell>
          <cell r="G61">
            <v>4.0808464157226334</v>
          </cell>
          <cell r="H61">
            <v>3.7385859229769123</v>
          </cell>
        </row>
        <row r="62">
          <cell r="A62" t="str">
            <v>14:Q3</v>
          </cell>
          <cell r="B62">
            <v>6.0716950040973385</v>
          </cell>
          <cell r="C62">
            <v>4.6648804118902625</v>
          </cell>
          <cell r="D62">
            <v>3.9894740277500658</v>
          </cell>
          <cell r="E62">
            <v>3.8226977289232189</v>
          </cell>
          <cell r="F62">
            <v>2.3824963159501875</v>
          </cell>
          <cell r="G62">
            <v>4.0137999474397956</v>
          </cell>
          <cell r="H62">
            <v>3.8498219489331271</v>
          </cell>
        </row>
        <row r="63">
          <cell r="A63" t="str">
            <v>14:Q4</v>
          </cell>
          <cell r="B63">
            <v>6.2592408102729884</v>
          </cell>
          <cell r="C63">
            <v>4.8320014689244921</v>
          </cell>
          <cell r="D63">
            <v>3.893036269961228</v>
          </cell>
          <cell r="E63">
            <v>3.8061771783953162</v>
          </cell>
          <cell r="F63">
            <v>2.6574814749359268</v>
          </cell>
          <cell r="G63">
            <v>4.1046532239105966</v>
          </cell>
          <cell r="H63">
            <v>3.9196162681336308</v>
          </cell>
        </row>
        <row r="64">
          <cell r="A64" t="str">
            <v>15:Q1</v>
          </cell>
          <cell r="B64">
            <v>6.0321895695021581</v>
          </cell>
          <cell r="C64">
            <v>4.721393621290467</v>
          </cell>
          <cell r="D64">
            <v>3.7091807559246277</v>
          </cell>
          <cell r="E64">
            <v>3.5133106277138308</v>
          </cell>
          <cell r="F64">
            <v>2.8139697172916924</v>
          </cell>
          <cell r="G64">
            <v>3.6780201138184365</v>
          </cell>
          <cell r="H64">
            <v>3.7580196443307332</v>
          </cell>
        </row>
        <row r="65">
          <cell r="A65" t="str">
            <v>15:Q2</v>
          </cell>
          <cell r="B65">
            <v>6.5430025833812522</v>
          </cell>
          <cell r="C65">
            <v>4.7001654634088972</v>
          </cell>
          <cell r="D65">
            <v>3.6644467633139963</v>
          </cell>
          <cell r="E65">
            <v>3.5103493783936996</v>
          </cell>
          <cell r="F65">
            <v>3.0412333053057021</v>
          </cell>
          <cell r="G65">
            <v>3.5885493513047919</v>
          </cell>
          <cell r="H65">
            <v>3.8042466590455239</v>
          </cell>
        </row>
        <row r="66">
          <cell r="A66" t="str">
            <v>15:Q3</v>
          </cell>
          <cell r="B66">
            <v>6.5348195436157042</v>
          </cell>
          <cell r="C66">
            <v>4.8512471542714524</v>
          </cell>
          <cell r="D66">
            <v>3.7805119262212652</v>
          </cell>
          <cell r="E66">
            <v>3.423829918390827</v>
          </cell>
          <cell r="F66">
            <v>3.1548899437436067</v>
          </cell>
          <cell r="G66">
            <v>3.5405584911834058</v>
          </cell>
          <cell r="H66">
            <v>3.849919582023055</v>
          </cell>
        </row>
        <row r="67">
          <cell r="A67" t="str">
            <v>15:Q4</v>
          </cell>
          <cell r="B67">
            <v>6.6786493335396049</v>
          </cell>
          <cell r="C67">
            <v>4.5996581500474338</v>
          </cell>
          <cell r="D67">
            <v>3.8708082974859406</v>
          </cell>
          <cell r="E67">
            <v>3.1124583984595242</v>
          </cell>
          <cell r="F67">
            <v>2.966417388283356</v>
          </cell>
          <cell r="G67">
            <v>3.4603332214271294</v>
          </cell>
          <cell r="H67">
            <v>3.7160865713784226</v>
          </cell>
        </row>
        <row r="68">
          <cell r="A68" t="str">
            <v>16:Q1</v>
          </cell>
          <cell r="B68">
            <v>6.9304265590543297</v>
          </cell>
          <cell r="C68">
            <v>4.7679282343036702</v>
          </cell>
          <cell r="D68">
            <v>3.944905456397136</v>
          </cell>
          <cell r="E68">
            <v>2.9973073066001223</v>
          </cell>
          <cell r="F68">
            <v>2.7091870224528138</v>
          </cell>
          <cell r="G68">
            <v>3.4106561747327473</v>
          </cell>
          <cell r="H68">
            <v>3.6933142292412153</v>
          </cell>
        </row>
        <row r="69">
          <cell r="A69" t="str">
            <v>16:Q2</v>
          </cell>
          <cell r="B69">
            <v>6.6301657292548732</v>
          </cell>
          <cell r="C69">
            <v>4.9277813452633188</v>
          </cell>
          <cell r="D69">
            <v>3.9378729576762224</v>
          </cell>
          <cell r="E69">
            <v>2.7097207617492707</v>
          </cell>
          <cell r="F69">
            <v>2.279796968062759</v>
          </cell>
          <cell r="G69">
            <v>3.1142636197412075</v>
          </cell>
          <cell r="H69">
            <v>3.5108394512420684</v>
          </cell>
        </row>
        <row r="70">
          <cell r="A70" t="str">
            <v>16:Q3</v>
          </cell>
          <cell r="B70">
            <v>6.8799784299648588</v>
          </cell>
          <cell r="C70">
            <v>4.9398306875927664</v>
          </cell>
          <cell r="D70">
            <v>3.743729907743699</v>
          </cell>
          <cell r="E70">
            <v>2.7998723766342981</v>
          </cell>
          <cell r="F70">
            <v>2.3464616699684164</v>
          </cell>
          <cell r="G70">
            <v>2.9692932143383111</v>
          </cell>
          <cell r="H70">
            <v>3.5086273041604441</v>
          </cell>
        </row>
        <row r="71">
          <cell r="A71" t="str">
            <v>16:Q4</v>
          </cell>
          <cell r="B71">
            <v>7.330180295823328</v>
          </cell>
          <cell r="C71">
            <v>5.1365707362526587</v>
          </cell>
          <cell r="D71">
            <v>3.9604048453991694</v>
          </cell>
          <cell r="E71">
            <v>2.9149359158507862</v>
          </cell>
          <cell r="F71">
            <v>2.5063219203026006</v>
          </cell>
          <cell r="G71">
            <v>3.2001426384692251</v>
          </cell>
          <cell r="H71">
            <v>3.7079504734002011</v>
          </cell>
        </row>
        <row r="72">
          <cell r="A72" t="str">
            <v>17:Q1</v>
          </cell>
          <cell r="B72">
            <v>7.5290213509425916</v>
          </cell>
          <cell r="C72">
            <v>5.2042192764683701</v>
          </cell>
          <cell r="D72">
            <v>4.4819605510437306</v>
          </cell>
          <cell r="E72">
            <v>3.3274530892271099</v>
          </cell>
          <cell r="F72">
            <v>2.9061186240947658</v>
          </cell>
          <cell r="G72">
            <v>3.6216227163703123</v>
          </cell>
          <cell r="H72">
            <v>4.0766013905164797</v>
          </cell>
        </row>
        <row r="73">
          <cell r="A73" t="str">
            <v>17:Q2</v>
          </cell>
          <cell r="B73">
            <v>7.8493392692225745</v>
          </cell>
          <cell r="C73">
            <v>5.5339629616337414</v>
          </cell>
          <cell r="D73">
            <v>4.7023761213669246</v>
          </cell>
          <cell r="E73">
            <v>3.6298087032570785</v>
          </cell>
          <cell r="F73">
            <v>3.3481529806907862</v>
          </cell>
          <cell r="G73">
            <v>4.0956381312036285</v>
          </cell>
          <cell r="H73">
            <v>4.4222541318811137</v>
          </cell>
        </row>
        <row r="74">
          <cell r="A74" t="str">
            <v>17:Q3</v>
          </cell>
          <cell r="B74">
            <v>7.7001651561313915</v>
          </cell>
          <cell r="C74">
            <v>5.8302454094849034</v>
          </cell>
          <cell r="D74">
            <v>5.1204926184307897</v>
          </cell>
          <cell r="E74">
            <v>3.7053394480903097</v>
          </cell>
          <cell r="F74">
            <v>3.2368144512379065</v>
          </cell>
          <cell r="G74">
            <v>4.4744184960260887</v>
          </cell>
          <cell r="H74">
            <v>4.603493931352487</v>
          </cell>
        </row>
        <row r="75">
          <cell r="A75" t="str">
            <v>17:Q4</v>
          </cell>
          <cell r="B75">
            <v>7.2615766493767735</v>
          </cell>
          <cell r="C75">
            <v>6.1258560080779363</v>
          </cell>
          <cell r="D75">
            <v>5.2857979822414549</v>
          </cell>
          <cell r="E75">
            <v>3.8285359431582995</v>
          </cell>
          <cell r="F75">
            <v>3.0526928937830151</v>
          </cell>
          <cell r="G75">
            <v>4.2689437375301997</v>
          </cell>
          <cell r="H75">
            <v>4.6435580968008328</v>
          </cell>
        </row>
        <row r="76">
          <cell r="A76" t="str">
            <v>18:Q1</v>
          </cell>
          <cell r="B76">
            <v>7.3377252358269596</v>
          </cell>
          <cell r="C76">
            <v>6.3742764118381467</v>
          </cell>
          <cell r="D76">
            <v>5.3073652327188565</v>
          </cell>
          <cell r="E76">
            <v>3.8562901471501272</v>
          </cell>
          <cell r="F76">
            <v>2.9841026290092891</v>
          </cell>
          <cell r="G76">
            <v>4.5460724093976266</v>
          </cell>
          <cell r="H76">
            <v>4.7226260990141729</v>
          </cell>
        </row>
        <row r="77">
          <cell r="A77" t="str">
            <v>18:Q2</v>
          </cell>
          <cell r="B77">
            <v>7.1441421951492057</v>
          </cell>
          <cell r="C77">
            <v>6.143246763290036</v>
          </cell>
          <cell r="D77">
            <v>5.4187075076661078</v>
          </cell>
          <cell r="E77">
            <v>3.9155782067203533</v>
          </cell>
          <cell r="F77">
            <v>3.1314036908626108</v>
          </cell>
          <cell r="G77">
            <v>4.6732908297648645</v>
          </cell>
          <cell r="H77">
            <v>4.7586507305134775</v>
          </cell>
        </row>
        <row r="78">
          <cell r="A78" t="str">
            <v>18:Q3</v>
          </cell>
          <cell r="B78">
            <v>7.5192564198464833</v>
          </cell>
          <cell r="C78">
            <v>6.0668029639850864</v>
          </cell>
          <cell r="D78">
            <v>5.3657010127991471</v>
          </cell>
          <cell r="E78">
            <v>4.0694456100352712</v>
          </cell>
          <cell r="F78">
            <v>3.3399054043146257</v>
          </cell>
          <cell r="G78">
            <v>4.4136168647580982</v>
          </cell>
          <cell r="H78">
            <v>4.8038386301415832</v>
          </cell>
        </row>
        <row r="79">
          <cell r="A79" t="str">
            <v>18:Q4</v>
          </cell>
          <cell r="B79">
            <v>7.6864754436578098</v>
          </cell>
          <cell r="C79">
            <v>6.0843357684924628</v>
          </cell>
          <cell r="D79">
            <v>5.2393134682638589</v>
          </cell>
          <cell r="E79">
            <v>4.5192842288430528</v>
          </cell>
          <cell r="F79">
            <v>3.6688704668238441</v>
          </cell>
          <cell r="G79">
            <v>4.6550497759034224</v>
          </cell>
          <cell r="H79">
            <v>4.989761024273486</v>
          </cell>
        </row>
        <row r="80">
          <cell r="A80" t="str">
            <v>19:Q1</v>
          </cell>
          <cell r="B80">
            <v>8.0534812989752638</v>
          </cell>
          <cell r="C80">
            <v>6.1026242433026772</v>
          </cell>
          <cell r="D80">
            <v>5.1971907969763675</v>
          </cell>
          <cell r="E80">
            <v>4.4925055461321666</v>
          </cell>
          <cell r="F80">
            <v>3.9890440534998932</v>
          </cell>
          <cell r="G80">
            <v>4.4918628948518053</v>
          </cell>
          <cell r="H80">
            <v>5.0428209578090559</v>
          </cell>
        </row>
        <row r="81">
          <cell r="A81" t="str">
            <v>19:Q2</v>
          </cell>
          <cell r="B81">
            <v>9.0350479675919573</v>
          </cell>
          <cell r="C81">
            <v>6.1247131496756122</v>
          </cell>
          <cell r="D81">
            <v>5.2869467961697527</v>
          </cell>
          <cell r="E81">
            <v>4.7560900099954413</v>
          </cell>
          <cell r="F81">
            <v>3.9687991959944728</v>
          </cell>
          <cell r="G81">
            <v>4.4385713895302352</v>
          </cell>
          <cell r="H81">
            <v>5.1754884251568836</v>
          </cell>
        </row>
        <row r="82">
          <cell r="A82" t="str">
            <v>19:Q3</v>
          </cell>
          <cell r="B82">
            <v>8.9094591319072052</v>
          </cell>
          <cell r="C82">
            <v>5.9684523219998482</v>
          </cell>
          <cell r="D82">
            <v>5.3402003952838175</v>
          </cell>
          <cell r="E82">
            <v>4.7780399578577972</v>
          </cell>
          <cell r="F82">
            <v>4.0558748566046177</v>
          </cell>
          <cell r="G82">
            <v>4.309361279212645</v>
          </cell>
          <cell r="H82">
            <v>5.1589464103315317</v>
          </cell>
        </row>
        <row r="83">
          <cell r="A83" t="str">
            <v>19:Q4</v>
          </cell>
          <cell r="B83">
            <v>9.3566094438700542</v>
          </cell>
          <cell r="C83">
            <v>6.0510835454485408</v>
          </cell>
          <cell r="D83">
            <v>5.6420703186226673</v>
          </cell>
          <cell r="E83">
            <v>4.7908592552518448</v>
          </cell>
          <cell r="F83">
            <v>4.3398216657137381</v>
          </cell>
          <cell r="G83">
            <v>4.2644244362934733</v>
          </cell>
          <cell r="H83">
            <v>5.317134341026704</v>
          </cell>
        </row>
        <row r="84">
          <cell r="A84" t="str">
            <v>20:Q1</v>
          </cell>
          <cell r="B84">
            <v>9.1506030893753483</v>
          </cell>
          <cell r="C84">
            <v>6.2731532641533434</v>
          </cell>
          <cell r="D84">
            <v>5.4845714028478003</v>
          </cell>
          <cell r="E84">
            <v>4.9559765254302386</v>
          </cell>
          <cell r="F84">
            <v>4.1745120116769128</v>
          </cell>
          <cell r="G84">
            <v>4.2293910117941396</v>
          </cell>
          <cell r="H84">
            <v>5.3148215383595705</v>
          </cell>
        </row>
        <row r="85">
          <cell r="A85" t="str">
            <v>20:Q2</v>
          </cell>
          <cell r="B85">
            <v>7.9050484186026768</v>
          </cell>
          <cell r="C85">
            <v>6.1708194530343405</v>
          </cell>
          <cell r="D85">
            <v>5.3232151502634775</v>
          </cell>
          <cell r="E85">
            <v>4.652064583289846</v>
          </cell>
          <cell r="F85">
            <v>3.8704915645705933</v>
          </cell>
          <cell r="G85">
            <v>4.1675415196588164</v>
          </cell>
          <cell r="H85">
            <v>5.0563853451132568</v>
          </cell>
        </row>
        <row r="86">
          <cell r="A86" t="str">
            <v>20:Q3</v>
          </cell>
          <cell r="B86">
            <v>6.8919246225370641</v>
          </cell>
          <cell r="C86">
            <v>5.9105540058445554</v>
          </cell>
          <cell r="D86">
            <v>4.8316666887932289</v>
          </cell>
          <cell r="E86">
            <v>4.3869264723900798</v>
          </cell>
          <cell r="F86">
            <v>3.5018414867659149</v>
          </cell>
          <cell r="G86">
            <v>4.3351054942657852</v>
          </cell>
          <cell r="H86">
            <v>4.7326901415840767</v>
          </cell>
        </row>
        <row r="87">
          <cell r="A87" t="str">
            <v>20:Q4</v>
          </cell>
          <cell r="B87">
            <v>5.7241338772015951</v>
          </cell>
          <cell r="C87">
            <v>5.2120705495223536</v>
          </cell>
          <cell r="D87">
            <v>4.0931451575810858</v>
          </cell>
          <cell r="E87">
            <v>3.8425291823531915</v>
          </cell>
          <cell r="F87">
            <v>2.9393394474344303</v>
          </cell>
          <cell r="G87">
            <v>4.1361376628441064</v>
          </cell>
          <cell r="H87">
            <v>4.1182407109013015</v>
          </cell>
        </row>
        <row r="88">
          <cell r="A88" t="str">
            <v>21:Q1</v>
          </cell>
          <cell r="B88">
            <v>5.1198381472650301</v>
          </cell>
          <cell r="C88">
            <v>4.5058711360420016</v>
          </cell>
          <cell r="D88">
            <v>3.968841917085602</v>
          </cell>
          <cell r="E88">
            <v>3.4297334412121767</v>
          </cell>
          <cell r="F88">
            <v>2.9419676109646056</v>
          </cell>
          <cell r="G88">
            <v>3.7673005140889977</v>
          </cell>
          <cell r="H88">
            <v>3.7843214986472535</v>
          </cell>
        </row>
        <row r="89">
          <cell r="A89" t="str">
            <v>21:Q2</v>
          </cell>
          <cell r="B89">
            <v>4.85030491685038</v>
          </cell>
          <cell r="C89">
            <v>3.9891377713515999</v>
          </cell>
          <cell r="D89">
            <v>3.4920526049549201</v>
          </cell>
          <cell r="E89">
            <v>3.0702971725978898</v>
          </cell>
          <cell r="F89">
            <v>2.8016376348702399</v>
          </cell>
          <cell r="G89">
            <v>3.2335085169022801</v>
          </cell>
          <cell r="H89">
            <v>3.3939739686044201</v>
          </cell>
        </row>
        <row r="90">
          <cell r="A90" t="str">
            <v>21:Q3</v>
          </cell>
          <cell r="B90">
            <v>4.940909346373858</v>
          </cell>
          <cell r="C90">
            <v>3.8956562463928917</v>
          </cell>
          <cell r="D90">
            <v>3.3369517157758231</v>
          </cell>
          <cell r="E90">
            <v>2.9410582089250061</v>
          </cell>
          <cell r="F90">
            <v>2.6747011527476316</v>
          </cell>
          <cell r="G90">
            <v>2.7787462338994899</v>
          </cell>
          <cell r="H90">
            <v>3.2376542718397205</v>
          </cell>
        </row>
        <row r="91">
          <cell r="A91" t="str">
            <v>21:Q4</v>
          </cell>
          <cell r="B91">
            <v>4.9647854118811523</v>
          </cell>
          <cell r="C91">
            <v>4.0795911923315229</v>
          </cell>
          <cell r="D91">
            <v>3.4283741766117775</v>
          </cell>
          <cell r="E91">
            <v>2.7755147473523576</v>
          </cell>
          <cell r="F91">
            <v>2.6379419799922981</v>
          </cell>
          <cell r="G91">
            <v>2.5149767882418939</v>
          </cell>
          <cell r="H91">
            <v>3.2171638852106446</v>
          </cell>
        </row>
        <row r="92">
          <cell r="A92" t="str">
            <v>22:Q1</v>
          </cell>
          <cell r="B92">
            <v>5.12</v>
          </cell>
          <cell r="C92">
            <v>4.1900000000000004</v>
          </cell>
          <cell r="D92">
            <v>3</v>
          </cell>
          <cell r="E92">
            <v>2.44</v>
          </cell>
          <cell r="F92">
            <v>2.3199999999999998</v>
          </cell>
          <cell r="G92">
            <v>2.64</v>
          </cell>
          <cell r="H92">
            <v>3.04</v>
          </cell>
        </row>
        <row r="93">
          <cell r="A93" t="str">
            <v>22:Q2</v>
          </cell>
          <cell r="B93">
            <v>5.9498294373430003</v>
          </cell>
          <cell r="C93">
            <v>4.5799383702039913</v>
          </cell>
          <cell r="D93">
            <v>3.1279744824805245</v>
          </cell>
          <cell r="E93">
            <v>2.7691603098138438</v>
          </cell>
          <cell r="F93">
            <v>2.516170752508768</v>
          </cell>
          <cell r="G93">
            <v>2.9888098236861227</v>
          </cell>
          <cell r="H93">
            <v>3.3537898800433168</v>
          </cell>
        </row>
        <row r="94">
          <cell r="A94" t="str">
            <v>22:Q3</v>
          </cell>
          <cell r="B94">
            <v>6.8551477045352565</v>
          </cell>
          <cell r="C94">
            <v>5.0332837462324429</v>
          </cell>
          <cell r="D94">
            <v>3.568325947159344</v>
          </cell>
          <cell r="E94">
            <v>2.7755701205068193</v>
          </cell>
          <cell r="F94">
            <v>2.7237890632021058</v>
          </cell>
          <cell r="G94">
            <v>3.336097459839281</v>
          </cell>
          <cell r="H94">
            <v>3.6874306552814851</v>
          </cell>
        </row>
        <row r="95">
          <cell r="A95" t="str">
            <v>22:Q4</v>
          </cell>
          <cell r="B95">
            <v>7.6001727767539728</v>
          </cell>
          <cell r="C95">
            <v>5.6868837940140802</v>
          </cell>
          <cell r="D95">
            <v>3.8080288988283142</v>
          </cell>
          <cell r="E95">
            <v>2.9825233213865814</v>
          </cell>
          <cell r="F95">
            <v>2.8138277617459075</v>
          </cell>
          <cell r="G95">
            <v>3.4927099426991646</v>
          </cell>
          <cell r="H95">
            <v>4.0112107754459414</v>
          </cell>
        </row>
        <row r="96">
          <cell r="A96" t="str">
            <v>23:Q1</v>
          </cell>
          <cell r="B96">
            <v>8.3108058881820384</v>
          </cell>
          <cell r="C96">
            <v>6.2676568973207223</v>
          </cell>
          <cell r="D96">
            <v>4.4795230069768088</v>
          </cell>
          <cell r="E96">
            <v>3.7262522958543811</v>
          </cell>
          <cell r="F96">
            <v>3.0722138763548879</v>
          </cell>
          <cell r="G96">
            <v>3.778924248983917</v>
          </cell>
          <cell r="H96">
            <v>4.5743021196072915</v>
          </cell>
        </row>
        <row r="97">
          <cell r="A97" t="str">
            <v>23:Q2</v>
          </cell>
          <cell r="B97">
            <v>8.5151541747101351</v>
          </cell>
          <cell r="C97">
            <v>7.1382357487646848</v>
          </cell>
          <cell r="D97">
            <v>5.1471616376009433</v>
          </cell>
          <cell r="E97">
            <v>4.0250403054893447</v>
          </cell>
          <cell r="F97">
            <v>3.3616130788098526</v>
          </cell>
          <cell r="G97">
            <v>4.2522838565475407</v>
          </cell>
          <cell r="H97">
            <v>5.0782880164932518</v>
          </cell>
        </row>
        <row r="98">
          <cell r="A98" t="str">
            <v>23:Q3</v>
          </cell>
          <cell r="B98">
            <v>9.3011823114627052</v>
          </cell>
          <cell r="C98">
            <v>8.2483212357439797</v>
          </cell>
          <cell r="D98">
            <v>5.7122370192282963</v>
          </cell>
          <cell r="E98">
            <v>4.8940879245369633</v>
          </cell>
          <cell r="F98">
            <v>3.8465771644370115</v>
          </cell>
          <cell r="G98">
            <v>4.5705053423249504</v>
          </cell>
          <cell r="H98">
            <v>5.7842437334963153</v>
          </cell>
        </row>
        <row r="99">
          <cell r="A99" t="str">
            <v>23:Q4</v>
          </cell>
          <cell r="B99">
            <v>9.6506402044220199</v>
          </cell>
          <cell r="C99">
            <v>8.728455083016339</v>
          </cell>
          <cell r="D99">
            <v>6.2245200740631086</v>
          </cell>
          <cell r="E99">
            <v>5.6003128364288042</v>
          </cell>
          <cell r="F99">
            <v>4.4163257565800098</v>
          </cell>
          <cell r="G99">
            <v>5.3261259770704061</v>
          </cell>
          <cell r="H99">
            <v>6.3623072544203882</v>
          </cell>
        </row>
        <row r="100">
          <cell r="A100" t="str">
            <v>24:Q1</v>
          </cell>
          <cell r="B100">
            <v>9.9018684070690366</v>
          </cell>
          <cell r="C100">
            <v>9.4743773885027025</v>
          </cell>
          <cell r="D100">
            <v>6.9562561966775043</v>
          </cell>
          <cell r="E100">
            <v>6.0112292208928917</v>
          </cell>
          <cell r="F100">
            <v>4.7784682383756705</v>
          </cell>
          <cell r="G100">
            <v>5.5349258391918346</v>
          </cell>
          <cell r="H100">
            <v>6.8616488220999612</v>
          </cell>
        </row>
        <row r="101">
          <cell r="A101" t="str">
            <v>24:Q2</v>
          </cell>
          <cell r="B101">
            <v>10.457466977764057</v>
          </cell>
          <cell r="C101">
            <v>9.6514042081400202</v>
          </cell>
          <cell r="D101">
            <v>7.4101058548155549</v>
          </cell>
          <cell r="E101">
            <v>6.43794537681622</v>
          </cell>
          <cell r="F101">
            <v>5.1407221181592213</v>
          </cell>
          <cell r="G101">
            <v>5.4230386955519716</v>
          </cell>
          <cell r="H101">
            <v>7.1756901518926854</v>
          </cell>
        </row>
        <row r="102">
          <cell r="A102" t="str">
            <v>24:Q3</v>
          </cell>
          <cell r="B102">
            <v>10.400663751995337</v>
          </cell>
          <cell r="C102">
            <v>9.0987539802646964</v>
          </cell>
          <cell r="D102">
            <v>7.6411521605702681</v>
          </cell>
          <cell r="E102">
            <v>6.4552103580521134</v>
          </cell>
          <cell r="F102">
            <v>4.9065824351328748</v>
          </cell>
          <cell r="G102">
            <v>5.5209411183349584</v>
          </cell>
          <cell r="H102">
            <v>7.0982709013369716</v>
          </cell>
        </row>
        <row r="103">
          <cell r="A103" t="str">
            <v>24:Q4</v>
          </cell>
          <cell r="B103">
            <v>10.756978209637154</v>
          </cell>
          <cell r="C103">
            <v>9.0293113606665774</v>
          </cell>
          <cell r="D103">
            <v>7.8060894417810864</v>
          </cell>
          <cell r="E103">
            <v>6.5243967241983283</v>
          </cell>
          <cell r="F103">
            <v>4.9944462534626988</v>
          </cell>
          <cell r="G103">
            <v>5.5920166017451614</v>
          </cell>
          <cell r="H103">
            <v>7.1833481209506651</v>
          </cell>
        </row>
        <row r="104">
          <cell r="A104" t="str">
            <v>25:Q1</v>
          </cell>
          <cell r="B104">
            <v>10.335434673735689</v>
          </cell>
          <cell r="C104">
            <v>8.7320725162765402</v>
          </cell>
          <cell r="D104">
            <v>7.6007553799303711</v>
          </cell>
          <cell r="E104">
            <v>6.4487511957382022</v>
          </cell>
          <cell r="F104">
            <v>5.0514885472874571</v>
          </cell>
          <cell r="G104">
            <v>5.571837890040527</v>
          </cell>
          <cell r="H104">
            <v>7.0387930380236883</v>
          </cell>
        </row>
        <row r="105">
          <cell r="A105" t="str">
            <v>25:Q2</v>
          </cell>
          <cell r="B105">
            <v>9.8605724705808289</v>
          </cell>
          <cell r="C105">
            <v>8.6778311865824111</v>
          </cell>
          <cell r="D105">
            <v>7.4577250711787197</v>
          </cell>
          <cell r="E105">
            <v>6.2494578563907357</v>
          </cell>
          <cell r="F105">
            <v>5.0531315650260327</v>
          </cell>
          <cell r="G105">
            <v>5.6560306955619115</v>
          </cell>
          <cell r="H105">
            <v>6.9318745434571571</v>
          </cell>
        </row>
        <row r="106">
          <cell r="A106" t="str">
            <v>25:Q3</v>
          </cell>
          <cell r="B106">
            <v>9.9719875468057513</v>
          </cell>
          <cell r="C106">
            <v>8.7736257230702073</v>
          </cell>
          <cell r="D106">
            <v>7.633057815211183</v>
          </cell>
          <cell r="E106">
            <v>5.9908674067301364</v>
          </cell>
          <cell r="F106">
            <v>5.4737375947373454</v>
          </cell>
          <cell r="G106">
            <v>6.0087504382954364</v>
          </cell>
          <cell r="H106">
            <v>7.0529806170699487</v>
          </cell>
        </row>
        <row r="107">
          <cell r="A107" t="str">
            <v>25:Q4</v>
          </cell>
          <cell r="B107">
            <v>9.480306987989481</v>
          </cell>
          <cell r="C107">
            <v>8.6322814624756621</v>
          </cell>
          <cell r="D107">
            <v>8.1371690776208254</v>
          </cell>
          <cell r="E107">
            <v>6.2369001795004495</v>
          </cell>
          <cell r="F107">
            <v>5.379009668201638</v>
          </cell>
          <cell r="G107">
            <v>5.8974757640978064</v>
          </cell>
          <cell r="H107">
            <v>7.1316033504525356</v>
          </cell>
        </row>
        <row r="108">
          <cell r="A108" t="str">
            <v>26:Q1</v>
          </cell>
          <cell r="B108">
            <v>9.665874289875017</v>
          </cell>
          <cell r="C108">
            <v>8.6763140002971006</v>
          </cell>
          <cell r="D108">
            <v>7.9910404997631375</v>
          </cell>
          <cell r="E108">
            <v>6.2564390580133411</v>
          </cell>
          <cell r="F108">
            <v>5.275002957759285</v>
          </cell>
          <cell r="G108">
            <v>6.0489525563874063</v>
          </cell>
          <cell r="H108">
            <v>7.1184189396578459</v>
          </cell>
        </row>
      </sheetData>
      <sheetData sheetId="48" refreshError="1"/>
      <sheetData sheetId="49">
        <row r="1">
          <cell r="A1" t="str">
            <v>Transition into Serious Delinquency (90+) for Student Loans by Age</v>
          </cell>
        </row>
        <row r="2">
          <cell r="A2" t="str">
            <v>Percent</v>
          </cell>
        </row>
        <row r="3">
          <cell r="A3" t="str">
            <v>quarter</v>
          </cell>
          <cell r="B3" t="str">
            <v>18-29</v>
          </cell>
          <cell r="C3" t="str">
            <v>30-39</v>
          </cell>
          <cell r="D3" t="str">
            <v>40-49</v>
          </cell>
          <cell r="E3" t="str">
            <v>50+</v>
          </cell>
        </row>
        <row r="4">
          <cell r="A4" t="str">
            <v>00:Q1</v>
          </cell>
          <cell r="B4">
            <v>9.6283307922316865</v>
          </cell>
          <cell r="C4">
            <v>11.79007394222878</v>
          </cell>
          <cell r="D4">
            <v>17.415104739057131</v>
          </cell>
          <cell r="E4">
            <v>7.1443980421694819</v>
          </cell>
        </row>
        <row r="5">
          <cell r="A5" t="str">
            <v>00:Q2</v>
          </cell>
          <cell r="B5">
            <v>11.410657567959422</v>
          </cell>
          <cell r="C5">
            <v>12.339488815202479</v>
          </cell>
          <cell r="D5">
            <v>15.040507242189124</v>
          </cell>
          <cell r="E5">
            <v>5.9336309870718269</v>
          </cell>
        </row>
        <row r="6">
          <cell r="A6" t="str">
            <v>00:Q3</v>
          </cell>
          <cell r="B6">
            <v>11.503634014515182</v>
          </cell>
          <cell r="C6">
            <v>11.977572319162274</v>
          </cell>
          <cell r="D6">
            <v>15.224114189016122</v>
          </cell>
          <cell r="E6">
            <v>5.8857742921203746</v>
          </cell>
        </row>
        <row r="7">
          <cell r="A7" t="str">
            <v>00:Q4</v>
          </cell>
          <cell r="B7">
            <v>11.934873983326675</v>
          </cell>
          <cell r="C7">
            <v>11.468091381491266</v>
          </cell>
          <cell r="D7">
            <v>14.511986447476616</v>
          </cell>
          <cell r="E7">
            <v>6.0578992805755396</v>
          </cell>
        </row>
        <row r="8">
          <cell r="A8" t="str">
            <v>01:Q1</v>
          </cell>
          <cell r="B8">
            <v>12.061164619646062</v>
          </cell>
          <cell r="C8">
            <v>10.970828556362511</v>
          </cell>
          <cell r="D8">
            <v>13.644983326743244</v>
          </cell>
          <cell r="E8">
            <v>6.991983431158955</v>
          </cell>
        </row>
        <row r="9">
          <cell r="A9" t="str">
            <v>01:Q2</v>
          </cell>
          <cell r="B9">
            <v>11.568643776377764</v>
          </cell>
          <cell r="C9">
            <v>11.466239114995149</v>
          </cell>
          <cell r="D9">
            <v>13.747441073163136</v>
          </cell>
          <cell r="E9">
            <v>7.4528813394728539</v>
          </cell>
        </row>
        <row r="10">
          <cell r="A10" t="str">
            <v>01:Q3</v>
          </cell>
          <cell r="B10">
            <v>11.966154384834256</v>
          </cell>
          <cell r="C10">
            <v>11.767072485500039</v>
          </cell>
          <cell r="D10">
            <v>13.791058145561591</v>
          </cell>
          <cell r="E10">
            <v>7.3010846508525589</v>
          </cell>
        </row>
        <row r="11">
          <cell r="A11" t="str">
            <v>01:Q4</v>
          </cell>
          <cell r="B11">
            <v>12.604143777679289</v>
          </cell>
          <cell r="C11">
            <v>12.918504473658682</v>
          </cell>
          <cell r="D11">
            <v>13.323875295145211</v>
          </cell>
          <cell r="E11">
            <v>7.9989067536919682</v>
          </cell>
        </row>
        <row r="12">
          <cell r="A12" t="str">
            <v>02:Q1</v>
          </cell>
          <cell r="B12">
            <v>11.860745730418728</v>
          </cell>
          <cell r="C12">
            <v>12.972467248993166</v>
          </cell>
          <cell r="D12">
            <v>12.660993087571951</v>
          </cell>
          <cell r="E12">
            <v>7.9979069162990291</v>
          </cell>
        </row>
        <row r="13">
          <cell r="A13" t="str">
            <v>02:Q2</v>
          </cell>
          <cell r="B13">
            <v>10.819273549790291</v>
          </cell>
          <cell r="C13">
            <v>12.158882685408603</v>
          </cell>
          <cell r="D13">
            <v>13.249388350426623</v>
          </cell>
          <cell r="E13">
            <v>8.5737322602206536</v>
          </cell>
        </row>
        <row r="14">
          <cell r="A14" t="str">
            <v>02:Q3</v>
          </cell>
          <cell r="B14">
            <v>10.0567723985003</v>
          </cell>
          <cell r="C14">
            <v>11.611657906140003</v>
          </cell>
          <cell r="D14">
            <v>13.334604634629219</v>
          </cell>
          <cell r="E14">
            <v>8.6341550867982733</v>
          </cell>
        </row>
        <row r="15">
          <cell r="A15" t="str">
            <v>02:Q4</v>
          </cell>
          <cell r="B15">
            <v>8.6026113617275595</v>
          </cell>
          <cell r="C15">
            <v>11.309095108487298</v>
          </cell>
          <cell r="D15">
            <v>14.511503810604133</v>
          </cell>
          <cell r="E15">
            <v>8.9594939850502229</v>
          </cell>
        </row>
        <row r="16">
          <cell r="A16" t="str">
            <v>03:Q1</v>
          </cell>
          <cell r="B16">
            <v>8.7836385310338443</v>
          </cell>
          <cell r="C16">
            <v>11.921158183487957</v>
          </cell>
          <cell r="D16">
            <v>14.638145811784749</v>
          </cell>
          <cell r="E16">
            <v>9.4398986185208944</v>
          </cell>
        </row>
        <row r="17">
          <cell r="A17" t="str">
            <v>03:Q2</v>
          </cell>
          <cell r="B17">
            <v>7.4217459867614384</v>
          </cell>
          <cell r="C17">
            <v>12.156004747783674</v>
          </cell>
          <cell r="D17">
            <v>13.757755062382159</v>
          </cell>
          <cell r="E17">
            <v>10.955457758964998</v>
          </cell>
        </row>
        <row r="18">
          <cell r="A18" t="str">
            <v>03:Q3</v>
          </cell>
          <cell r="B18">
            <v>6.088173381312834</v>
          </cell>
          <cell r="C18">
            <v>11.188218806355223</v>
          </cell>
          <cell r="D18">
            <v>11.835158502595197</v>
          </cell>
          <cell r="E18">
            <v>10.54128624655759</v>
          </cell>
        </row>
        <row r="19">
          <cell r="A19" t="str">
            <v>03:Q4</v>
          </cell>
          <cell r="B19">
            <v>4.8108232746703745</v>
          </cell>
          <cell r="C19">
            <v>9.6278633908875637</v>
          </cell>
          <cell r="D19">
            <v>9.4975980404968787</v>
          </cell>
          <cell r="E19">
            <v>8.2778856514162094</v>
          </cell>
        </row>
        <row r="20">
          <cell r="A20" t="str">
            <v>04:Q1</v>
          </cell>
          <cell r="B20">
            <v>3.8377190900610079</v>
          </cell>
          <cell r="C20">
            <v>6.9287458701368045</v>
          </cell>
          <cell r="D20">
            <v>8.6834112181751948</v>
          </cell>
          <cell r="E20">
            <v>7.9585068541738302</v>
          </cell>
        </row>
        <row r="21">
          <cell r="A21" t="str">
            <v>04:Q2</v>
          </cell>
          <cell r="B21">
            <v>3.780578514343357</v>
          </cell>
          <cell r="C21">
            <v>5.9886976728044026</v>
          </cell>
          <cell r="D21">
            <v>9.0722949401617221</v>
          </cell>
          <cell r="E21">
            <v>6.7253348967039219</v>
          </cell>
        </row>
        <row r="22">
          <cell r="A22" t="str">
            <v>04:Q3</v>
          </cell>
          <cell r="B22">
            <v>3.8380301893556505</v>
          </cell>
          <cell r="C22">
            <v>6.1565599916048281</v>
          </cell>
          <cell r="D22">
            <v>9.6772091264500197</v>
          </cell>
          <cell r="E22">
            <v>6.6639997470175931</v>
          </cell>
        </row>
        <row r="23">
          <cell r="A23" t="str">
            <v>04:Q4</v>
          </cell>
          <cell r="B23">
            <v>4.095666109687496</v>
          </cell>
          <cell r="C23">
            <v>6.3717632021845425</v>
          </cell>
          <cell r="D23">
            <v>10.201816981549596</v>
          </cell>
          <cell r="E23">
            <v>8.8375559330462181</v>
          </cell>
        </row>
        <row r="24">
          <cell r="A24" t="str">
            <v>05:Q1</v>
          </cell>
          <cell r="B24">
            <v>4.7175837408430166</v>
          </cell>
          <cell r="C24">
            <v>7.5359323856947009</v>
          </cell>
          <cell r="D24">
            <v>10.27686426021245</v>
          </cell>
          <cell r="E24">
            <v>9.0200517388159334</v>
          </cell>
        </row>
        <row r="25">
          <cell r="A25" t="str">
            <v>05:Q2</v>
          </cell>
          <cell r="B25">
            <v>4.7433244152377556</v>
          </cell>
          <cell r="C25">
            <v>7.7072096898243565</v>
          </cell>
          <cell r="D25">
            <v>10.217292969947293</v>
          </cell>
          <cell r="E25">
            <v>8.3373885582039335</v>
          </cell>
        </row>
        <row r="26">
          <cell r="A26" t="str">
            <v>05:Q3</v>
          </cell>
          <cell r="B26">
            <v>5.2864401034354112</v>
          </cell>
          <cell r="C26">
            <v>7.775864332894364</v>
          </cell>
          <cell r="D26">
            <v>10.522717720162595</v>
          </cell>
          <cell r="E26">
            <v>8.5036080450189875</v>
          </cell>
        </row>
        <row r="27">
          <cell r="A27" t="str">
            <v>05:Q4</v>
          </cell>
          <cell r="B27">
            <v>5.0694286091825376</v>
          </cell>
          <cell r="C27">
            <v>7.272283603727697</v>
          </cell>
          <cell r="D27">
            <v>9.7299000194720779</v>
          </cell>
          <cell r="E27">
            <v>7.4650849791146321</v>
          </cell>
        </row>
        <row r="28">
          <cell r="A28" t="str">
            <v>06:Q1</v>
          </cell>
          <cell r="B28">
            <v>4.7806143912842147</v>
          </cell>
          <cell r="C28">
            <v>7.3440411753750627</v>
          </cell>
          <cell r="D28">
            <v>9.6937114616854885</v>
          </cell>
          <cell r="E28">
            <v>8.0634709682857295</v>
          </cell>
        </row>
        <row r="29">
          <cell r="A29" t="str">
            <v>06:Q2</v>
          </cell>
          <cell r="B29">
            <v>5.3805370487729043</v>
          </cell>
          <cell r="C29">
            <v>7.8950869156342725</v>
          </cell>
          <cell r="D29">
            <v>9.4453891223591278</v>
          </cell>
          <cell r="E29">
            <v>8.4267107413810329</v>
          </cell>
        </row>
        <row r="30">
          <cell r="A30" t="str">
            <v>06:Q3</v>
          </cell>
          <cell r="B30">
            <v>5.4384262881481353</v>
          </cell>
          <cell r="C30">
            <v>8.6421431871277843</v>
          </cell>
          <cell r="D30">
            <v>9.6082490382670773</v>
          </cell>
          <cell r="E30">
            <v>7.9109372308292372</v>
          </cell>
        </row>
        <row r="31">
          <cell r="A31" t="str">
            <v>06:Q4</v>
          </cell>
          <cell r="B31">
            <v>5.8509589873157939</v>
          </cell>
          <cell r="C31">
            <v>9.5380043725110273</v>
          </cell>
          <cell r="D31">
            <v>9.9669857363138359</v>
          </cell>
          <cell r="E31">
            <v>8.0130568442454582</v>
          </cell>
        </row>
        <row r="32">
          <cell r="A32" t="str">
            <v>07:Q1</v>
          </cell>
          <cell r="B32">
            <v>6.1690237096131559</v>
          </cell>
          <cell r="C32">
            <v>9.4160441850772969</v>
          </cell>
          <cell r="D32">
            <v>10.770290498218598</v>
          </cell>
          <cell r="E32">
            <v>7.6392602979317719</v>
          </cell>
        </row>
        <row r="33">
          <cell r="A33" t="str">
            <v>07:Q2</v>
          </cell>
          <cell r="B33">
            <v>5.8629196063798661</v>
          </cell>
          <cell r="C33">
            <v>9.8109432087265098</v>
          </cell>
          <cell r="D33">
            <v>10.749135865222703</v>
          </cell>
          <cell r="E33">
            <v>7.9674320892352064</v>
          </cell>
        </row>
        <row r="34">
          <cell r="A34" t="str">
            <v>07:Q3</v>
          </cell>
          <cell r="B34">
            <v>5.6892280002588711</v>
          </cell>
          <cell r="C34">
            <v>9.410673390885405</v>
          </cell>
          <cell r="D34">
            <v>9.4720256775413905</v>
          </cell>
          <cell r="E34">
            <v>7.9012866165163178</v>
          </cell>
        </row>
        <row r="35">
          <cell r="A35" t="str">
            <v>07:Q4</v>
          </cell>
          <cell r="B35">
            <v>5.497412235578234</v>
          </cell>
          <cell r="C35">
            <v>9.4326807952457514</v>
          </cell>
          <cell r="D35">
            <v>9.0843864099751581</v>
          </cell>
          <cell r="E35">
            <v>7.4055163575253866</v>
          </cell>
        </row>
        <row r="36">
          <cell r="A36" t="str">
            <v>08:Q1</v>
          </cell>
          <cell r="B36">
            <v>5.3856005011862074</v>
          </cell>
          <cell r="C36">
            <v>9.4957535315891661</v>
          </cell>
          <cell r="D36">
            <v>9.0768931535543373</v>
          </cell>
          <cell r="E36">
            <v>6.535911143575218</v>
          </cell>
        </row>
        <row r="37">
          <cell r="A37" t="str">
            <v>08:Q2</v>
          </cell>
          <cell r="B37">
            <v>5.1688715959724529</v>
          </cell>
          <cell r="C37">
            <v>8.6589522602482667</v>
          </cell>
          <cell r="D37">
            <v>9.039219274182317</v>
          </cell>
          <cell r="E37">
            <v>6.2103709778676901</v>
          </cell>
        </row>
        <row r="38">
          <cell r="A38" t="str">
            <v>08:Q3</v>
          </cell>
          <cell r="B38">
            <v>5.373327499197841</v>
          </cell>
          <cell r="C38">
            <v>8.5573799503103256</v>
          </cell>
          <cell r="D38">
            <v>10.080392927312829</v>
          </cell>
          <cell r="E38">
            <v>6.5541276440440592</v>
          </cell>
        </row>
        <row r="39">
          <cell r="A39" t="str">
            <v>08:Q4</v>
          </cell>
          <cell r="B39">
            <v>5.4370550091552641</v>
          </cell>
          <cell r="C39">
            <v>8.6032295809057171</v>
          </cell>
          <cell r="D39">
            <v>10.528534901900924</v>
          </cell>
          <cell r="E39">
            <v>6.8118489077609619</v>
          </cell>
        </row>
        <row r="40">
          <cell r="A40" t="str">
            <v>09:Q1</v>
          </cell>
          <cell r="B40">
            <v>5.5032085060700533</v>
          </cell>
          <cell r="C40">
            <v>8.5364091734210454</v>
          </cell>
          <cell r="D40">
            <v>10.090861847526964</v>
          </cell>
          <cell r="E40">
            <v>6.7957220081315297</v>
          </cell>
        </row>
        <row r="41">
          <cell r="A41" t="str">
            <v>09:Q2</v>
          </cell>
          <cell r="B41">
            <v>5.8313496566673448</v>
          </cell>
          <cell r="C41">
            <v>8.8101327894262198</v>
          </cell>
          <cell r="D41">
            <v>9.9336647297223255</v>
          </cell>
          <cell r="E41">
            <v>7.3993772166696452</v>
          </cell>
        </row>
        <row r="42">
          <cell r="A42" t="str">
            <v>09:Q3</v>
          </cell>
          <cell r="B42">
            <v>5.703318250401777</v>
          </cell>
          <cell r="C42">
            <v>8.6716806744301689</v>
          </cell>
          <cell r="D42">
            <v>10.308377677042897</v>
          </cell>
          <cell r="E42">
            <v>7.8466868997037729</v>
          </cell>
        </row>
        <row r="43">
          <cell r="A43" t="str">
            <v>09:Q4</v>
          </cell>
          <cell r="B43">
            <v>6.1226805531460053</v>
          </cell>
          <cell r="C43">
            <v>8.5938018334976469</v>
          </cell>
          <cell r="D43">
            <v>10.928057681901487</v>
          </cell>
          <cell r="E43">
            <v>8.1689591597575486</v>
          </cell>
        </row>
        <row r="44">
          <cell r="A44" t="str">
            <v>10:Q1</v>
          </cell>
          <cell r="B44">
            <v>6.3083026821322576</v>
          </cell>
          <cell r="C44">
            <v>8.6162948459043953</v>
          </cell>
          <cell r="D44">
            <v>10.900753166389352</v>
          </cell>
          <cell r="E44">
            <v>9.4665369923829186</v>
          </cell>
        </row>
        <row r="45">
          <cell r="A45" t="str">
            <v>10:Q2</v>
          </cell>
          <cell r="B45">
            <v>6.492578625245593</v>
          </cell>
          <cell r="C45">
            <v>8.9686634678165547</v>
          </cell>
          <cell r="D45">
            <v>12.375491636115115</v>
          </cell>
          <cell r="E45">
            <v>9.5501334510254985</v>
          </cell>
        </row>
        <row r="46">
          <cell r="A46" t="str">
            <v>10:Q3</v>
          </cell>
          <cell r="B46">
            <v>6.5836947963704766</v>
          </cell>
          <cell r="C46">
            <v>9.3897060408830999</v>
          </cell>
          <cell r="D46">
            <v>12.055189340543077</v>
          </cell>
          <cell r="E46">
            <v>9.0879456261518907</v>
          </cell>
        </row>
        <row r="47">
          <cell r="A47" t="str">
            <v>10:Q4</v>
          </cell>
          <cell r="B47">
            <v>6.4101468010843927</v>
          </cell>
          <cell r="C47">
            <v>9.1169045637500368</v>
          </cell>
          <cell r="D47">
            <v>11.563626314048991</v>
          </cell>
          <cell r="E47">
            <v>9.0379425550302734</v>
          </cell>
        </row>
        <row r="48">
          <cell r="A48" t="str">
            <v>11:Q1</v>
          </cell>
          <cell r="B48">
            <v>6.2878342973692156</v>
          </cell>
          <cell r="C48">
            <v>9.3267564181777036</v>
          </cell>
          <cell r="D48">
            <v>11.99896105417996</v>
          </cell>
          <cell r="E48">
            <v>8.5674760377361796</v>
          </cell>
        </row>
        <row r="49">
          <cell r="A49" t="str">
            <v>11:Q2</v>
          </cell>
          <cell r="B49">
            <v>6.5045469566054042</v>
          </cell>
          <cell r="C49">
            <v>9.4324616355942084</v>
          </cell>
          <cell r="D49">
            <v>11.705410237882077</v>
          </cell>
          <cell r="E49">
            <v>8.7742105256183152</v>
          </cell>
        </row>
        <row r="50">
          <cell r="A50" t="str">
            <v>11:Q3</v>
          </cell>
          <cell r="B50">
            <v>6.6293256990319307</v>
          </cell>
          <cell r="C50">
            <v>9.7020799395952793</v>
          </cell>
          <cell r="D50">
            <v>11.977161619281324</v>
          </cell>
          <cell r="E50">
            <v>9.310272485541768</v>
          </cell>
        </row>
        <row r="51">
          <cell r="A51" t="str">
            <v>11:Q4</v>
          </cell>
          <cell r="B51">
            <v>6.8284662404155618</v>
          </cell>
          <cell r="C51">
            <v>10.251925425714159</v>
          </cell>
          <cell r="D51">
            <v>12.249051191291183</v>
          </cell>
          <cell r="E51">
            <v>10.179458096810084</v>
          </cell>
        </row>
        <row r="52">
          <cell r="A52" t="str">
            <v>12:Q1</v>
          </cell>
          <cell r="B52">
            <v>6.8874454125732623</v>
          </cell>
          <cell r="C52">
            <v>10.107225997220372</v>
          </cell>
          <cell r="D52">
            <v>12.401693577951779</v>
          </cell>
          <cell r="E52">
            <v>10.651127458781332</v>
          </cell>
        </row>
        <row r="53">
          <cell r="A53" t="str">
            <v>12:Q2</v>
          </cell>
          <cell r="B53">
            <v>7.5319324322175776</v>
          </cell>
          <cell r="C53">
            <v>10.303770631787289</v>
          </cell>
          <cell r="D53">
            <v>13.018873133814788</v>
          </cell>
          <cell r="E53">
            <v>10.736369128594166</v>
          </cell>
        </row>
        <row r="54">
          <cell r="A54" t="str">
            <v>12:Q3</v>
          </cell>
          <cell r="B54">
            <v>8.0779566743711442</v>
          </cell>
          <cell r="C54">
            <v>10.705065678631914</v>
          </cell>
          <cell r="D54">
            <v>13.504987157267651</v>
          </cell>
          <cell r="E54">
            <v>11.105928435333345</v>
          </cell>
        </row>
        <row r="55">
          <cell r="A55" t="str">
            <v>12:Q4</v>
          </cell>
          <cell r="B55">
            <v>8.2732973053012522</v>
          </cell>
          <cell r="C55">
            <v>10.561982825299349</v>
          </cell>
          <cell r="D55">
            <v>14.176789078949284</v>
          </cell>
          <cell r="E55">
            <v>10.046392974634086</v>
          </cell>
        </row>
        <row r="56">
          <cell r="A56" t="str">
            <v>13:Q1</v>
          </cell>
          <cell r="B56">
            <v>8.5112699039718898</v>
          </cell>
          <cell r="C56">
            <v>11.168004046755515</v>
          </cell>
          <cell r="D56">
            <v>14.371873282482161</v>
          </cell>
          <cell r="E56">
            <v>9.4518686222238113</v>
          </cell>
        </row>
        <row r="57">
          <cell r="A57" t="str">
            <v>13:Q2</v>
          </cell>
          <cell r="B57">
            <v>7.7525732409806105</v>
          </cell>
          <cell r="C57">
            <v>10.968037853381611</v>
          </cell>
          <cell r="D57">
            <v>13.258217472039686</v>
          </cell>
          <cell r="E57">
            <v>9.1170710537059474</v>
          </cell>
        </row>
        <row r="58">
          <cell r="A58" t="str">
            <v>13:Q3</v>
          </cell>
          <cell r="B58">
            <v>7.6473795467174712</v>
          </cell>
          <cell r="C58">
            <v>10.754593242858746</v>
          </cell>
          <cell r="D58">
            <v>13.061487431476479</v>
          </cell>
          <cell r="E58">
            <v>8.8355090254651412</v>
          </cell>
        </row>
        <row r="59">
          <cell r="A59" t="str">
            <v>13:Q4</v>
          </cell>
          <cell r="B59">
            <v>7.7876066844247278</v>
          </cell>
          <cell r="C59">
            <v>11.225855560906375</v>
          </cell>
          <cell r="D59">
            <v>13.0373977087971</v>
          </cell>
          <cell r="E59">
            <v>10.188692953336739</v>
          </cell>
        </row>
        <row r="60">
          <cell r="A60" t="str">
            <v>14:Q1</v>
          </cell>
          <cell r="B60">
            <v>7.7573293600156576</v>
          </cell>
          <cell r="C60">
            <v>11.06088257335594</v>
          </cell>
          <cell r="D60">
            <v>13.207541783015239</v>
          </cell>
          <cell r="E60">
            <v>10.389369059694008</v>
          </cell>
        </row>
        <row r="61">
          <cell r="A61" t="str">
            <v>14:Q2</v>
          </cell>
          <cell r="B61">
            <v>7.9443131279352404</v>
          </cell>
          <cell r="C61">
            <v>11.124420773202335</v>
          </cell>
          <cell r="D61">
            <v>13.592049698511509</v>
          </cell>
          <cell r="E61">
            <v>10.253746724175237</v>
          </cell>
        </row>
        <row r="62">
          <cell r="A62" t="str">
            <v>14:Q3</v>
          </cell>
          <cell r="B62">
            <v>7.6845834649390099</v>
          </cell>
          <cell r="C62">
            <v>10.940970566908669</v>
          </cell>
          <cell r="D62">
            <v>13.610062095503093</v>
          </cell>
          <cell r="E62">
            <v>10.550652585336067</v>
          </cell>
        </row>
        <row r="63">
          <cell r="A63" t="str">
            <v>14:Q4</v>
          </cell>
          <cell r="B63">
            <v>7.5244427057449546</v>
          </cell>
          <cell r="C63">
            <v>10.963436158950916</v>
          </cell>
          <cell r="D63">
            <v>13.520374937758428</v>
          </cell>
          <cell r="E63">
            <v>10.15749179038921</v>
          </cell>
        </row>
        <row r="64">
          <cell r="A64" t="str">
            <v>15:Q1</v>
          </cell>
          <cell r="B64">
            <v>7.5752720845743031</v>
          </cell>
          <cell r="C64">
            <v>10.650928321678457</v>
          </cell>
          <cell r="D64">
            <v>13.310420575554593</v>
          </cell>
          <cell r="E64">
            <v>10.673567779354604</v>
          </cell>
        </row>
        <row r="65">
          <cell r="A65" t="str">
            <v>15:Q2</v>
          </cell>
          <cell r="B65">
            <v>7.5332718656956761</v>
          </cell>
          <cell r="C65">
            <v>10.853432098361097</v>
          </cell>
          <cell r="D65">
            <v>13.270900253804655</v>
          </cell>
          <cell r="E65">
            <v>11.200183444490348</v>
          </cell>
        </row>
        <row r="66">
          <cell r="A66" t="str">
            <v>15:Q3</v>
          </cell>
          <cell r="B66">
            <v>7.6565136947578969</v>
          </cell>
          <cell r="C66">
            <v>10.710454870924172</v>
          </cell>
          <cell r="D66">
            <v>13.031707124815606</v>
          </cell>
          <cell r="E66">
            <v>11.230830333755577</v>
          </cell>
        </row>
        <row r="67">
          <cell r="A67" t="str">
            <v>15:Q4</v>
          </cell>
          <cell r="B67">
            <v>7.9683786589410373</v>
          </cell>
          <cell r="C67">
            <v>10.511331762574978</v>
          </cell>
          <cell r="D67">
            <v>13.062373356710498</v>
          </cell>
          <cell r="E67">
            <v>10.408412673717999</v>
          </cell>
        </row>
        <row r="68">
          <cell r="A68" t="str">
            <v>16:Q1</v>
          </cell>
          <cell r="B68">
            <v>7.6878836677801656</v>
          </cell>
          <cell r="C68">
            <v>10.363911619429722</v>
          </cell>
          <cell r="D68">
            <v>12.58090285252498</v>
          </cell>
          <cell r="E68">
            <v>9.9661833494042718</v>
          </cell>
        </row>
        <row r="69">
          <cell r="A69" t="str">
            <v>16:Q2</v>
          </cell>
          <cell r="B69">
            <v>7.8848980723451767</v>
          </cell>
          <cell r="C69">
            <v>9.7357039163688199</v>
          </cell>
          <cell r="D69">
            <v>12.214259574604577</v>
          </cell>
          <cell r="E69">
            <v>9.7477210336521996</v>
          </cell>
        </row>
        <row r="70">
          <cell r="A70" t="str">
            <v>16:Q3</v>
          </cell>
          <cell r="B70">
            <v>8.0625396316151789</v>
          </cell>
          <cell r="C70">
            <v>9.64729481417349</v>
          </cell>
          <cell r="D70">
            <v>12.245666732062155</v>
          </cell>
          <cell r="E70">
            <v>9.932372216489938</v>
          </cell>
        </row>
        <row r="71">
          <cell r="A71" t="str">
            <v>16:Q4</v>
          </cell>
          <cell r="B71">
            <v>7.938027505069206</v>
          </cell>
          <cell r="C71">
            <v>9.2936414089404238</v>
          </cell>
          <cell r="D71">
            <v>12.110124613839677</v>
          </cell>
          <cell r="E71">
            <v>10.006305882607885</v>
          </cell>
        </row>
        <row r="72">
          <cell r="A72" t="str">
            <v>17:Q1</v>
          </cell>
          <cell r="B72">
            <v>7.9566895882574329</v>
          </cell>
          <cell r="C72">
            <v>9.5223677229210022</v>
          </cell>
          <cell r="D72">
            <v>12.390179607875714</v>
          </cell>
          <cell r="E72">
            <v>10.101562292117267</v>
          </cell>
        </row>
        <row r="73">
          <cell r="A73" t="str">
            <v>17:Q2</v>
          </cell>
          <cell r="B73">
            <v>7.7603740890071231</v>
          </cell>
          <cell r="C73">
            <v>9.8688793139777449</v>
          </cell>
          <cell r="D73">
            <v>12.426356097459539</v>
          </cell>
          <cell r="E73">
            <v>10.249093261169696</v>
          </cell>
        </row>
        <row r="74">
          <cell r="A74" t="str">
            <v>17:Q3</v>
          </cell>
          <cell r="B74">
            <v>7.7972869071884112</v>
          </cell>
          <cell r="C74">
            <v>9.9588540267685435</v>
          </cell>
          <cell r="D74">
            <v>12.32517759057431</v>
          </cell>
          <cell r="E74">
            <v>9.4766916639353802</v>
          </cell>
        </row>
        <row r="75">
          <cell r="A75" t="str">
            <v>17:Q4</v>
          </cell>
          <cell r="B75">
            <v>7.3776378873036421</v>
          </cell>
          <cell r="C75">
            <v>9.471028971719603</v>
          </cell>
          <cell r="D75">
            <v>12.097745123325293</v>
          </cell>
          <cell r="E75">
            <v>9.5527342075897401</v>
          </cell>
        </row>
        <row r="76">
          <cell r="A76" t="str">
            <v>18:Q1</v>
          </cell>
          <cell r="B76">
            <v>7.4196920914273461</v>
          </cell>
          <cell r="C76">
            <v>8.6704556400576536</v>
          </cell>
          <cell r="D76">
            <v>11.717102577751556</v>
          </cell>
          <cell r="E76">
            <v>9.1073188623638437</v>
          </cell>
        </row>
        <row r="77">
          <cell r="A77" t="str">
            <v>18:Q2</v>
          </cell>
          <cell r="B77">
            <v>7.0510045432628194</v>
          </cell>
          <cell r="C77">
            <v>8.5813140641447774</v>
          </cell>
          <cell r="D77">
            <v>11.140851503372934</v>
          </cell>
          <cell r="E77">
            <v>8.9522173012869644</v>
          </cell>
        </row>
        <row r="78">
          <cell r="A78" t="str">
            <v>18:Q3</v>
          </cell>
          <cell r="B78">
            <v>7.1887304099526599</v>
          </cell>
          <cell r="C78">
            <v>9.4250706205715797</v>
          </cell>
          <cell r="D78">
            <v>11.187733162602004</v>
          </cell>
          <cell r="E78">
            <v>9.7476194267890683</v>
          </cell>
        </row>
        <row r="79">
          <cell r="A79" t="str">
            <v>18:Q4</v>
          </cell>
          <cell r="B79">
            <v>6.9806840652819417</v>
          </cell>
          <cell r="C79">
            <v>9.5707587271572248</v>
          </cell>
          <cell r="D79">
            <v>10.629347251664575</v>
          </cell>
          <cell r="E79">
            <v>9.3113064887347683</v>
          </cell>
        </row>
        <row r="80">
          <cell r="A80" t="str">
            <v>19:Q1</v>
          </cell>
          <cell r="B80">
            <v>7.0988932232774333</v>
          </cell>
          <cell r="C80">
            <v>10.30059315836948</v>
          </cell>
          <cell r="D80">
            <v>10.741084436249986</v>
          </cell>
          <cell r="E80">
            <v>9.7061060609073113</v>
          </cell>
        </row>
        <row r="81">
          <cell r="A81" t="str">
            <v>19:Q2</v>
          </cell>
          <cell r="B81">
            <v>7.2001470337861502</v>
          </cell>
          <cell r="C81">
            <v>10.530060315007056</v>
          </cell>
          <cell r="D81">
            <v>11.902496345734329</v>
          </cell>
          <cell r="E81">
            <v>10.120153841604898</v>
          </cell>
        </row>
        <row r="82">
          <cell r="A82" t="str">
            <v>19:Q3</v>
          </cell>
          <cell r="B82">
            <v>6.5867531781262683</v>
          </cell>
          <cell r="C82">
            <v>9.2769059965388543</v>
          </cell>
          <cell r="D82">
            <v>11.677263610253519</v>
          </cell>
          <cell r="E82">
            <v>9.5548811036715673</v>
          </cell>
        </row>
        <row r="83">
          <cell r="A83" t="str">
            <v>19:Q4</v>
          </cell>
          <cell r="B83">
            <v>6.6636562420908039</v>
          </cell>
          <cell r="C83">
            <v>8.8637011165075581</v>
          </cell>
          <cell r="D83">
            <v>11.565944139256464</v>
          </cell>
          <cell r="E83">
            <v>9.9723866426991776</v>
          </cell>
        </row>
        <row r="84">
          <cell r="A84" t="str">
            <v>20:Q1</v>
          </cell>
          <cell r="B84">
            <v>6.1164559572042583</v>
          </cell>
          <cell r="C84">
            <v>8.4653498756938088</v>
          </cell>
          <cell r="D84">
            <v>11.054780996894085</v>
          </cell>
          <cell r="E84">
            <v>10.100373190492933</v>
          </cell>
        </row>
        <row r="85">
          <cell r="A85" t="str">
            <v>20:Q2</v>
          </cell>
          <cell r="B85">
            <v>4.4386667644262658</v>
          </cell>
          <cell r="C85">
            <v>6.0656634349543319</v>
          </cell>
          <cell r="D85">
            <v>7.9089346024827547</v>
          </cell>
          <cell r="E85">
            <v>7.6562533354482554</v>
          </cell>
        </row>
        <row r="86">
          <cell r="A86" t="str">
            <v>20:Q3</v>
          </cell>
          <cell r="B86">
            <v>2.8557745050770222</v>
          </cell>
          <cell r="C86">
            <v>3.9141921510559099</v>
          </cell>
          <cell r="D86">
            <v>5.2409763229122621</v>
          </cell>
          <cell r="E86">
            <v>5.7549808403129141</v>
          </cell>
        </row>
        <row r="87">
          <cell r="A87" t="str">
            <v>20:Q4</v>
          </cell>
          <cell r="B87">
            <v>1.2192628488548751</v>
          </cell>
          <cell r="C87">
            <v>2.4336277687038965</v>
          </cell>
          <cell r="D87">
            <v>3.3583142178594541</v>
          </cell>
          <cell r="E87">
            <v>4.2887766807976995</v>
          </cell>
        </row>
        <row r="88">
          <cell r="A88" t="str">
            <v>21:Q1</v>
          </cell>
          <cell r="B88">
            <v>0.1815514284814152</v>
          </cell>
          <cell r="C88">
            <v>0.56581166922531412</v>
          </cell>
          <cell r="D88">
            <v>1.3086669213767146</v>
          </cell>
          <cell r="E88">
            <v>2.2376141354307313</v>
          </cell>
        </row>
        <row r="89">
          <cell r="A89" t="str">
            <v>21:Q2</v>
          </cell>
          <cell r="B89">
            <v>0.18067636148409799</v>
          </cell>
          <cell r="C89">
            <v>0.52507435829982496</v>
          </cell>
          <cell r="D89">
            <v>1.40444533564131</v>
          </cell>
          <cell r="E89">
            <v>2.2100529681358001</v>
          </cell>
        </row>
        <row r="90">
          <cell r="A90" t="str">
            <v>21:Q3</v>
          </cell>
          <cell r="B90">
            <v>0.19650680913831006</v>
          </cell>
          <cell r="C90">
            <v>0.62784724932361047</v>
          </cell>
          <cell r="D90">
            <v>1.5377726405086172</v>
          </cell>
          <cell r="E90">
            <v>2.1705354299027126</v>
          </cell>
        </row>
        <row r="91">
          <cell r="A91" t="str">
            <v>21:Q4</v>
          </cell>
          <cell r="B91">
            <v>0.21615683074297734</v>
          </cell>
          <cell r="C91">
            <v>0.56339454093818564</v>
          </cell>
          <cell r="D91">
            <v>1.4482617539209384</v>
          </cell>
          <cell r="E91">
            <v>1.7428064654309641</v>
          </cell>
        </row>
        <row r="92">
          <cell r="A92" t="str">
            <v>22:Q1</v>
          </cell>
          <cell r="B92">
            <v>0.23</v>
          </cell>
          <cell r="C92">
            <v>0.56000000000000005</v>
          </cell>
          <cell r="D92">
            <v>1.43</v>
          </cell>
          <cell r="E92">
            <v>1.45</v>
          </cell>
        </row>
        <row r="93">
          <cell r="A93" t="str">
            <v>22:Q2</v>
          </cell>
          <cell r="B93">
            <v>0.22068064870015086</v>
          </cell>
          <cell r="C93">
            <v>0.66491491425149318</v>
          </cell>
          <cell r="D93">
            <v>1.472859394118289</v>
          </cell>
          <cell r="E93">
            <v>1.6897913066399997</v>
          </cell>
        </row>
        <row r="94">
          <cell r="A94" t="str">
            <v>22:Q3</v>
          </cell>
          <cell r="B94">
            <v>0.21399767974252204</v>
          </cell>
          <cell r="C94">
            <v>0.64118359487802867</v>
          </cell>
          <cell r="D94">
            <v>1.5073700878915364</v>
          </cell>
          <cell r="E94">
            <v>1.9115898885805747</v>
          </cell>
        </row>
        <row r="95">
          <cell r="A95" t="str">
            <v>22:Q4</v>
          </cell>
          <cell r="B95">
            <v>0.18327294964363952</v>
          </cell>
          <cell r="C95">
            <v>0.6551783349891207</v>
          </cell>
          <cell r="D95">
            <v>1.550970261513525</v>
          </cell>
          <cell r="E95">
            <v>1.7928068943974185</v>
          </cell>
        </row>
        <row r="96">
          <cell r="A96" t="str">
            <v>23:Q1</v>
          </cell>
          <cell r="B96">
            <v>0.21241443531160162</v>
          </cell>
          <cell r="C96">
            <v>0.62374230096946848</v>
          </cell>
          <cell r="D96">
            <v>1.422895568982778</v>
          </cell>
          <cell r="E96">
            <v>1.5793181702418138</v>
          </cell>
        </row>
        <row r="97">
          <cell r="A97" t="str">
            <v>23:Q2</v>
          </cell>
          <cell r="B97">
            <v>0.23218085076115785</v>
          </cell>
          <cell r="C97">
            <v>0.53659046248982911</v>
          </cell>
          <cell r="D97">
            <v>1.3175575454311244</v>
          </cell>
          <cell r="E97">
            <v>1.3756679669838796</v>
          </cell>
        </row>
        <row r="98">
          <cell r="A98" t="str">
            <v>23:Q3</v>
          </cell>
          <cell r="B98">
            <v>0.2522521311951727</v>
          </cell>
          <cell r="C98">
            <v>0.55083533366031778</v>
          </cell>
          <cell r="D98">
            <v>1.20121342189438</v>
          </cell>
          <cell r="E98">
            <v>1.1028636147613671</v>
          </cell>
        </row>
        <row r="99">
          <cell r="A99" t="str">
            <v>23:Q4</v>
          </cell>
          <cell r="B99">
            <v>0.31403159343986553</v>
          </cell>
          <cell r="C99">
            <v>0.48078620490956819</v>
          </cell>
          <cell r="D99">
            <v>1.0428005112105387</v>
          </cell>
          <cell r="E99">
            <v>1.3884557704338276</v>
          </cell>
        </row>
        <row r="100">
          <cell r="A100" t="str">
            <v>24:Q1</v>
          </cell>
          <cell r="B100">
            <v>0.30329650135160191</v>
          </cell>
          <cell r="C100">
            <v>0.40826348054400019</v>
          </cell>
          <cell r="D100">
            <v>1.0206751627178545</v>
          </cell>
          <cell r="E100">
            <v>1.3864301435239736</v>
          </cell>
        </row>
        <row r="101">
          <cell r="A101" t="str">
            <v>24:Q2</v>
          </cell>
          <cell r="B101">
            <v>0.34666642509956497</v>
          </cell>
          <cell r="C101">
            <v>0.41963182620067296</v>
          </cell>
          <cell r="D101">
            <v>0.92578124734866951</v>
          </cell>
          <cell r="E101">
            <v>1.4325278437328051</v>
          </cell>
        </row>
        <row r="102">
          <cell r="A102" t="str">
            <v>24:Q3</v>
          </cell>
          <cell r="B102">
            <v>0.3484515050861352</v>
          </cell>
          <cell r="C102">
            <v>0.32342511822579673</v>
          </cell>
          <cell r="D102">
            <v>0.88657046950184026</v>
          </cell>
          <cell r="E102">
            <v>1.6082566848535904</v>
          </cell>
        </row>
        <row r="103">
          <cell r="A103" t="str">
            <v>24:Q4</v>
          </cell>
          <cell r="B103">
            <v>0.27561350326593098</v>
          </cell>
          <cell r="C103">
            <v>0.28580427241483569</v>
          </cell>
          <cell r="D103">
            <v>0.88939061092223104</v>
          </cell>
          <cell r="E103">
            <v>1.4461428258153144</v>
          </cell>
        </row>
        <row r="104">
          <cell r="A104" t="str">
            <v>25:Q1</v>
          </cell>
          <cell r="B104">
            <v>3.9726318205206321</v>
          </cell>
          <cell r="C104">
            <v>7.5576419527264491</v>
          </cell>
          <cell r="D104">
            <v>9.0315883533480523</v>
          </cell>
          <cell r="E104">
            <v>11.225465826139393</v>
          </cell>
        </row>
        <row r="105">
          <cell r="A105" t="str">
            <v>25:Q2</v>
          </cell>
          <cell r="B105">
            <v>8.1249427840809343</v>
          </cell>
          <cell r="C105">
            <v>11.356554353184587</v>
          </cell>
          <cell r="D105">
            <v>13.572367368883345</v>
          </cell>
          <cell r="E105">
            <v>18.255247263639212</v>
          </cell>
        </row>
        <row r="106">
          <cell r="A106" t="str">
            <v>25:Q3</v>
          </cell>
          <cell r="B106">
            <v>9.2187021128303819</v>
          </cell>
          <cell r="C106">
            <v>12.824635459989059</v>
          </cell>
          <cell r="D106">
            <v>14.773500595979772</v>
          </cell>
          <cell r="E106">
            <v>19.915479870065706</v>
          </cell>
        </row>
        <row r="107">
          <cell r="A107" t="str">
            <v>25:Q4</v>
          </cell>
          <cell r="B107">
            <v>10.642385457135846</v>
          </cell>
          <cell r="C107">
            <v>14.588921627647219</v>
          </cell>
          <cell r="D107">
            <v>16.756390361185851</v>
          </cell>
          <cell r="E107">
            <v>22.415536003814843</v>
          </cell>
        </row>
        <row r="108">
          <cell r="A108" t="str">
            <v>26:Q1</v>
          </cell>
          <cell r="B108">
            <v>8.0267103956267594</v>
          </cell>
          <cell r="C108">
            <v>9.298829491972338</v>
          </cell>
          <cell r="D108">
            <v>10.906350247951636</v>
          </cell>
          <cell r="E108">
            <v>15.168999173048009</v>
          </cell>
        </row>
      </sheetData>
      <sheetData sheetId="50" refreshError="1"/>
      <sheetData sheetId="51">
        <row r="1">
          <cell r="A1" t="str">
            <v>New Foreclosures By Age</v>
          </cell>
        </row>
        <row r="2">
          <cell r="A2" t="str">
            <v>Thousands</v>
          </cell>
        </row>
        <row r="4">
          <cell r="A4" t="str">
            <v>quarter</v>
          </cell>
          <cell r="B4" t="str">
            <v>18-29</v>
          </cell>
          <cell r="C4" t="str">
            <v>30-39</v>
          </cell>
          <cell r="D4" t="str">
            <v>40-49</v>
          </cell>
          <cell r="E4" t="str">
            <v>50-59</v>
          </cell>
          <cell r="F4" t="str">
            <v>60-69</v>
          </cell>
          <cell r="G4" t="str">
            <v>70+</v>
          </cell>
        </row>
        <row r="5">
          <cell r="A5" t="str">
            <v>00:Q1</v>
          </cell>
          <cell r="B5">
            <v>16.260000000000002</v>
          </cell>
          <cell r="C5">
            <v>49.16</v>
          </cell>
          <cell r="D5">
            <v>49.88</v>
          </cell>
          <cell r="E5">
            <v>27.1</v>
          </cell>
          <cell r="F5">
            <v>8.82</v>
          </cell>
          <cell r="G5">
            <v>6.34</v>
          </cell>
        </row>
        <row r="6">
          <cell r="A6" t="str">
            <v>00:Q2</v>
          </cell>
          <cell r="B6">
            <v>12.14</v>
          </cell>
          <cell r="C6">
            <v>34.26</v>
          </cell>
          <cell r="D6">
            <v>39.299999999999997</v>
          </cell>
          <cell r="E6">
            <v>19.32</v>
          </cell>
          <cell r="F6">
            <v>7.32</v>
          </cell>
          <cell r="G6">
            <v>4.62</v>
          </cell>
        </row>
        <row r="7">
          <cell r="A7" t="str">
            <v>00:Q3</v>
          </cell>
          <cell r="B7">
            <v>14.14</v>
          </cell>
          <cell r="C7">
            <v>40.26</v>
          </cell>
          <cell r="D7">
            <v>40.98</v>
          </cell>
          <cell r="E7">
            <v>20.5</v>
          </cell>
          <cell r="F7">
            <v>7.14</v>
          </cell>
          <cell r="G7">
            <v>5.36</v>
          </cell>
        </row>
        <row r="8">
          <cell r="A8" t="str">
            <v>00:Q4</v>
          </cell>
          <cell r="B8">
            <v>16.079999999999998</v>
          </cell>
          <cell r="C8">
            <v>45.18</v>
          </cell>
          <cell r="D8">
            <v>46.38</v>
          </cell>
          <cell r="E8">
            <v>23.72</v>
          </cell>
          <cell r="F8">
            <v>7.04</v>
          </cell>
          <cell r="G8">
            <v>6.36</v>
          </cell>
        </row>
        <row r="9">
          <cell r="A9" t="str">
            <v>01:Q1</v>
          </cell>
          <cell r="B9">
            <v>15.42</v>
          </cell>
          <cell r="C9">
            <v>46.16</v>
          </cell>
          <cell r="D9">
            <v>49.22</v>
          </cell>
          <cell r="E9">
            <v>26.46</v>
          </cell>
          <cell r="F9">
            <v>8.74</v>
          </cell>
          <cell r="G9">
            <v>5.94</v>
          </cell>
        </row>
        <row r="10">
          <cell r="A10" t="str">
            <v>01:Q2</v>
          </cell>
          <cell r="B10">
            <v>14.52</v>
          </cell>
          <cell r="C10">
            <v>43.84</v>
          </cell>
          <cell r="D10">
            <v>47.8</v>
          </cell>
          <cell r="E10">
            <v>25.92</v>
          </cell>
          <cell r="F10">
            <v>8.6199999999999992</v>
          </cell>
          <cell r="G10">
            <v>6.1</v>
          </cell>
        </row>
        <row r="11">
          <cell r="A11" t="str">
            <v>01:Q3</v>
          </cell>
          <cell r="B11">
            <v>17.68</v>
          </cell>
          <cell r="C11">
            <v>48.38</v>
          </cell>
          <cell r="D11">
            <v>47.46</v>
          </cell>
          <cell r="E11">
            <v>26.08</v>
          </cell>
          <cell r="F11">
            <v>8.9600000000000009</v>
          </cell>
          <cell r="G11">
            <v>6.72</v>
          </cell>
        </row>
        <row r="12">
          <cell r="A12" t="str">
            <v>01:Q4</v>
          </cell>
          <cell r="B12">
            <v>19.04</v>
          </cell>
          <cell r="C12">
            <v>47.68</v>
          </cell>
          <cell r="D12">
            <v>49.52</v>
          </cell>
          <cell r="E12">
            <v>24.8</v>
          </cell>
          <cell r="F12">
            <v>7.68</v>
          </cell>
          <cell r="G12">
            <v>6.16</v>
          </cell>
        </row>
        <row r="13">
          <cell r="A13" t="str">
            <v>02:Q1</v>
          </cell>
          <cell r="B13">
            <v>23.86</v>
          </cell>
          <cell r="C13">
            <v>74.94</v>
          </cell>
          <cell r="D13">
            <v>81.38</v>
          </cell>
          <cell r="E13">
            <v>46.32</v>
          </cell>
          <cell r="F13">
            <v>14.84</v>
          </cell>
          <cell r="G13">
            <v>9.08</v>
          </cell>
        </row>
        <row r="14">
          <cell r="A14" t="str">
            <v>02:Q2</v>
          </cell>
          <cell r="B14">
            <v>15.44</v>
          </cell>
          <cell r="C14">
            <v>46.84</v>
          </cell>
          <cell r="D14">
            <v>52.22</v>
          </cell>
          <cell r="E14">
            <v>28.6</v>
          </cell>
          <cell r="F14">
            <v>9.52</v>
          </cell>
          <cell r="G14">
            <v>6.72</v>
          </cell>
        </row>
        <row r="15">
          <cell r="A15" t="str">
            <v>02:Q3</v>
          </cell>
          <cell r="B15">
            <v>19.14</v>
          </cell>
          <cell r="C15">
            <v>54.04</v>
          </cell>
          <cell r="D15">
            <v>53.36</v>
          </cell>
          <cell r="E15">
            <v>30.66</v>
          </cell>
          <cell r="F15">
            <v>9.9</v>
          </cell>
          <cell r="G15">
            <v>6.26</v>
          </cell>
        </row>
        <row r="16">
          <cell r="A16" t="str">
            <v>02:Q4</v>
          </cell>
          <cell r="B16">
            <v>20.48</v>
          </cell>
          <cell r="C16">
            <v>53.5</v>
          </cell>
          <cell r="D16">
            <v>54.94</v>
          </cell>
          <cell r="E16">
            <v>30.26</v>
          </cell>
          <cell r="F16">
            <v>9.44</v>
          </cell>
          <cell r="G16">
            <v>6.38</v>
          </cell>
        </row>
        <row r="17">
          <cell r="A17" t="str">
            <v>03:Q1</v>
          </cell>
          <cell r="B17">
            <v>18.88</v>
          </cell>
          <cell r="C17">
            <v>58.14</v>
          </cell>
          <cell r="D17">
            <v>62.46</v>
          </cell>
          <cell r="E17">
            <v>33.56</v>
          </cell>
          <cell r="F17">
            <v>10.7</v>
          </cell>
          <cell r="G17">
            <v>6.56</v>
          </cell>
        </row>
        <row r="18">
          <cell r="A18" t="str">
            <v>03:Q2</v>
          </cell>
          <cell r="B18">
            <v>15.72</v>
          </cell>
          <cell r="C18">
            <v>46.16</v>
          </cell>
          <cell r="D18">
            <v>51.14</v>
          </cell>
          <cell r="E18">
            <v>29.02</v>
          </cell>
          <cell r="F18">
            <v>10.3</v>
          </cell>
          <cell r="G18">
            <v>6.36</v>
          </cell>
        </row>
        <row r="19">
          <cell r="A19" t="str">
            <v>03:Q3</v>
          </cell>
          <cell r="B19">
            <v>16.2</v>
          </cell>
          <cell r="C19">
            <v>49.3</v>
          </cell>
          <cell r="D19">
            <v>53.94</v>
          </cell>
          <cell r="E19">
            <v>30.6</v>
          </cell>
          <cell r="F19">
            <v>10.1</v>
          </cell>
          <cell r="G19">
            <v>6.9</v>
          </cell>
        </row>
        <row r="20">
          <cell r="A20" t="str">
            <v>03:Q4</v>
          </cell>
          <cell r="B20">
            <v>19.22</v>
          </cell>
          <cell r="C20">
            <v>53.04</v>
          </cell>
          <cell r="D20">
            <v>57.68</v>
          </cell>
          <cell r="E20">
            <v>32.4</v>
          </cell>
          <cell r="F20">
            <v>11.54</v>
          </cell>
          <cell r="G20">
            <v>6.42</v>
          </cell>
        </row>
        <row r="21">
          <cell r="A21" t="str">
            <v>04:Q1</v>
          </cell>
          <cell r="B21">
            <v>15.84</v>
          </cell>
          <cell r="C21">
            <v>50.96</v>
          </cell>
          <cell r="D21">
            <v>56.14</v>
          </cell>
          <cell r="E21">
            <v>33.24</v>
          </cell>
          <cell r="F21">
            <v>11.12</v>
          </cell>
          <cell r="G21">
            <v>7.06</v>
          </cell>
        </row>
        <row r="22">
          <cell r="A22" t="str">
            <v>04:Q2</v>
          </cell>
          <cell r="B22">
            <v>14.86</v>
          </cell>
          <cell r="C22">
            <v>45.02</v>
          </cell>
          <cell r="D22">
            <v>51.74</v>
          </cell>
          <cell r="E22">
            <v>30.88</v>
          </cell>
          <cell r="F22">
            <v>10</v>
          </cell>
          <cell r="G22">
            <v>6.56</v>
          </cell>
        </row>
        <row r="23">
          <cell r="A23" t="str">
            <v>04:Q3</v>
          </cell>
          <cell r="B23">
            <v>16.96</v>
          </cell>
          <cell r="C23">
            <v>45.7</v>
          </cell>
          <cell r="D23">
            <v>49.24</v>
          </cell>
          <cell r="E23">
            <v>30.06</v>
          </cell>
          <cell r="F23">
            <v>10.58</v>
          </cell>
          <cell r="G23">
            <v>6.14</v>
          </cell>
        </row>
        <row r="24">
          <cell r="A24" t="str">
            <v>04:Q4</v>
          </cell>
          <cell r="B24">
            <v>20.420000000000002</v>
          </cell>
          <cell r="C24">
            <v>54</v>
          </cell>
          <cell r="D24">
            <v>55.36</v>
          </cell>
          <cell r="E24">
            <v>30.2</v>
          </cell>
          <cell r="F24">
            <v>10.64</v>
          </cell>
          <cell r="G24">
            <v>6.36</v>
          </cell>
        </row>
        <row r="25">
          <cell r="A25" t="str">
            <v>05:Q1</v>
          </cell>
          <cell r="B25">
            <v>15.46</v>
          </cell>
          <cell r="C25">
            <v>47.18</v>
          </cell>
          <cell r="D25">
            <v>52.04</v>
          </cell>
          <cell r="E25">
            <v>31.98</v>
          </cell>
          <cell r="F25">
            <v>11.48</v>
          </cell>
          <cell r="G25">
            <v>7.08</v>
          </cell>
        </row>
        <row r="26">
          <cell r="A26" t="str">
            <v>05:Q2</v>
          </cell>
          <cell r="B26">
            <v>13.3</v>
          </cell>
          <cell r="C26">
            <v>41.7</v>
          </cell>
          <cell r="D26">
            <v>46.12</v>
          </cell>
          <cell r="E26">
            <v>27.3</v>
          </cell>
          <cell r="F26">
            <v>9.5399999999999991</v>
          </cell>
          <cell r="G26">
            <v>6.46</v>
          </cell>
        </row>
        <row r="27">
          <cell r="A27" t="str">
            <v>05:Q3</v>
          </cell>
          <cell r="B27">
            <v>16.78</v>
          </cell>
          <cell r="C27">
            <v>43.68</v>
          </cell>
          <cell r="D27">
            <v>48.66</v>
          </cell>
          <cell r="E27">
            <v>29.64</v>
          </cell>
          <cell r="F27">
            <v>8.9</v>
          </cell>
          <cell r="G27">
            <v>6.38</v>
          </cell>
        </row>
        <row r="28">
          <cell r="A28" t="str">
            <v>05:Q4</v>
          </cell>
          <cell r="B28">
            <v>18.760000000000002</v>
          </cell>
          <cell r="C28">
            <v>47.4</v>
          </cell>
          <cell r="D28">
            <v>50.3</v>
          </cell>
          <cell r="E28">
            <v>29.62</v>
          </cell>
          <cell r="F28">
            <v>10.8</v>
          </cell>
          <cell r="G28">
            <v>6.48</v>
          </cell>
        </row>
        <row r="29">
          <cell r="A29" t="str">
            <v>06:Q1</v>
          </cell>
          <cell r="B29">
            <v>17.14</v>
          </cell>
          <cell r="C29">
            <v>48.92</v>
          </cell>
          <cell r="D29">
            <v>52.66</v>
          </cell>
          <cell r="E29">
            <v>32.72</v>
          </cell>
          <cell r="F29">
            <v>11.46</v>
          </cell>
          <cell r="G29">
            <v>7.04</v>
          </cell>
        </row>
        <row r="30">
          <cell r="A30" t="str">
            <v>06:Q2</v>
          </cell>
          <cell r="B30">
            <v>18.18</v>
          </cell>
          <cell r="C30">
            <v>48.62</v>
          </cell>
          <cell r="D30">
            <v>55.7</v>
          </cell>
          <cell r="E30">
            <v>33.96</v>
          </cell>
          <cell r="F30">
            <v>12.78</v>
          </cell>
          <cell r="G30">
            <v>7.02</v>
          </cell>
        </row>
        <row r="31">
          <cell r="A31" t="str">
            <v>06:Q3</v>
          </cell>
          <cell r="B31">
            <v>21.06</v>
          </cell>
          <cell r="C31">
            <v>55.06</v>
          </cell>
          <cell r="D31">
            <v>56.6</v>
          </cell>
          <cell r="E31">
            <v>34.42</v>
          </cell>
          <cell r="F31">
            <v>11.62</v>
          </cell>
          <cell r="G31">
            <v>7.24</v>
          </cell>
        </row>
        <row r="32">
          <cell r="A32" t="str">
            <v>06:Q4</v>
          </cell>
          <cell r="B32">
            <v>26.9</v>
          </cell>
          <cell r="C32">
            <v>65.180000000000007</v>
          </cell>
          <cell r="D32">
            <v>66.92</v>
          </cell>
          <cell r="E32">
            <v>37.32</v>
          </cell>
          <cell r="F32">
            <v>14.02</v>
          </cell>
          <cell r="G32">
            <v>7.3</v>
          </cell>
        </row>
        <row r="33">
          <cell r="A33" t="str">
            <v>07:Q1</v>
          </cell>
          <cell r="B33">
            <v>28.56</v>
          </cell>
          <cell r="C33">
            <v>78.900000000000006</v>
          </cell>
          <cell r="D33">
            <v>82.04</v>
          </cell>
          <cell r="E33">
            <v>48.86</v>
          </cell>
          <cell r="F33">
            <v>17.600000000000001</v>
          </cell>
          <cell r="G33">
            <v>8.8599999999999905</v>
          </cell>
        </row>
        <row r="34">
          <cell r="A34" t="str">
            <v>07:Q2</v>
          </cell>
          <cell r="B34">
            <v>27.58</v>
          </cell>
          <cell r="C34">
            <v>70.52</v>
          </cell>
          <cell r="D34">
            <v>75.5</v>
          </cell>
          <cell r="E34">
            <v>44.16</v>
          </cell>
          <cell r="F34">
            <v>16.38</v>
          </cell>
          <cell r="G34">
            <v>7.62</v>
          </cell>
        </row>
        <row r="35">
          <cell r="A35" t="str">
            <v>07:Q3</v>
          </cell>
          <cell r="B35">
            <v>36.36</v>
          </cell>
          <cell r="C35">
            <v>99.14</v>
          </cell>
          <cell r="D35">
            <v>96.28</v>
          </cell>
          <cell r="E35">
            <v>58.88</v>
          </cell>
          <cell r="F35">
            <v>19.899999999999999</v>
          </cell>
          <cell r="G35">
            <v>9.9600000000000009</v>
          </cell>
        </row>
        <row r="36">
          <cell r="A36" t="str">
            <v>07:Q4</v>
          </cell>
          <cell r="B36">
            <v>41.2</v>
          </cell>
          <cell r="C36">
            <v>109.22</v>
          </cell>
          <cell r="D36">
            <v>101.94</v>
          </cell>
          <cell r="E36">
            <v>60.52</v>
          </cell>
          <cell r="F36">
            <v>20.82</v>
          </cell>
          <cell r="G36">
            <v>9.64</v>
          </cell>
        </row>
        <row r="37">
          <cell r="A37" t="str">
            <v>08:Q1</v>
          </cell>
          <cell r="B37">
            <v>42.28</v>
          </cell>
          <cell r="C37">
            <v>130.04</v>
          </cell>
          <cell r="D37">
            <v>130.30000000000001</v>
          </cell>
          <cell r="E37">
            <v>78.86</v>
          </cell>
          <cell r="F37">
            <v>29.68</v>
          </cell>
          <cell r="G37">
            <v>12.86</v>
          </cell>
        </row>
        <row r="38">
          <cell r="A38" t="str">
            <v>08:Q2</v>
          </cell>
          <cell r="B38">
            <v>45.32</v>
          </cell>
          <cell r="C38">
            <v>136.63999999999999</v>
          </cell>
          <cell r="D38">
            <v>137.68</v>
          </cell>
          <cell r="E38">
            <v>84.48</v>
          </cell>
          <cell r="F38">
            <v>32.24</v>
          </cell>
          <cell r="G38">
            <v>13.72</v>
          </cell>
        </row>
        <row r="39">
          <cell r="A39" t="str">
            <v>08:Q3</v>
          </cell>
          <cell r="B39">
            <v>46.24</v>
          </cell>
          <cell r="C39">
            <v>132.24</v>
          </cell>
          <cell r="D39">
            <v>134.44</v>
          </cell>
          <cell r="E39">
            <v>81.34</v>
          </cell>
          <cell r="F39">
            <v>32.72</v>
          </cell>
          <cell r="G39">
            <v>13.8</v>
          </cell>
        </row>
        <row r="40">
          <cell r="A40" t="str">
            <v>08:Q4</v>
          </cell>
          <cell r="B40">
            <v>43.02</v>
          </cell>
          <cell r="C40">
            <v>123.94</v>
          </cell>
          <cell r="D40">
            <v>129.63999999999999</v>
          </cell>
          <cell r="E40">
            <v>79.7</v>
          </cell>
          <cell r="F40">
            <v>29.5</v>
          </cell>
          <cell r="G40">
            <v>12.08</v>
          </cell>
        </row>
        <row r="41">
          <cell r="A41" t="str">
            <v>09:Q1</v>
          </cell>
          <cell r="B41">
            <v>38.46</v>
          </cell>
          <cell r="C41">
            <v>144.41999999999999</v>
          </cell>
          <cell r="D41">
            <v>159.46</v>
          </cell>
          <cell r="E41">
            <v>107.14</v>
          </cell>
          <cell r="F41">
            <v>43.52</v>
          </cell>
          <cell r="G41">
            <v>19.34</v>
          </cell>
        </row>
        <row r="42">
          <cell r="A42" t="str">
            <v>09:Q2</v>
          </cell>
          <cell r="B42">
            <v>43.36</v>
          </cell>
          <cell r="C42">
            <v>154.36000000000001</v>
          </cell>
          <cell r="D42">
            <v>176.54</v>
          </cell>
          <cell r="E42">
            <v>119.5</v>
          </cell>
          <cell r="F42">
            <v>50.16</v>
          </cell>
          <cell r="G42">
            <v>19.48</v>
          </cell>
        </row>
        <row r="43">
          <cell r="A43" t="str">
            <v>09:Q3</v>
          </cell>
          <cell r="B43">
            <v>37.6</v>
          </cell>
          <cell r="C43">
            <v>133.54</v>
          </cell>
          <cell r="D43">
            <v>150.30000000000001</v>
          </cell>
          <cell r="E43">
            <v>103.16</v>
          </cell>
          <cell r="F43">
            <v>43.68</v>
          </cell>
          <cell r="G43">
            <v>17.86</v>
          </cell>
        </row>
        <row r="44">
          <cell r="A44" t="str">
            <v>09:Q4</v>
          </cell>
          <cell r="B44">
            <v>37.6</v>
          </cell>
          <cell r="C44">
            <v>130.36000000000001</v>
          </cell>
          <cell r="D44">
            <v>139.38</v>
          </cell>
          <cell r="E44">
            <v>100.26</v>
          </cell>
          <cell r="F44">
            <v>39.82</v>
          </cell>
          <cell r="G44">
            <v>16.239999999999998</v>
          </cell>
        </row>
        <row r="45">
          <cell r="A45" t="str">
            <v>10:Q1</v>
          </cell>
          <cell r="B45">
            <v>28.46</v>
          </cell>
          <cell r="C45">
            <v>116.34</v>
          </cell>
          <cell r="D45">
            <v>142.91999999999999</v>
          </cell>
          <cell r="E45">
            <v>102.6</v>
          </cell>
          <cell r="F45">
            <v>45.24</v>
          </cell>
          <cell r="G45">
            <v>18.86</v>
          </cell>
        </row>
        <row r="46">
          <cell r="A46" t="str">
            <v>10:Q2</v>
          </cell>
          <cell r="B46">
            <v>30.98</v>
          </cell>
          <cell r="C46">
            <v>122.46</v>
          </cell>
          <cell r="D46">
            <v>148.12</v>
          </cell>
          <cell r="E46">
            <v>108.9</v>
          </cell>
          <cell r="F46">
            <v>49.78</v>
          </cell>
          <cell r="G46">
            <v>21.36</v>
          </cell>
        </row>
        <row r="47">
          <cell r="A47" t="str">
            <v>10:Q3</v>
          </cell>
          <cell r="B47">
            <v>28.68</v>
          </cell>
          <cell r="C47">
            <v>118.02</v>
          </cell>
          <cell r="D47">
            <v>140.84</v>
          </cell>
          <cell r="E47">
            <v>103.96</v>
          </cell>
          <cell r="F47">
            <v>45.56</v>
          </cell>
          <cell r="G47">
            <v>18.46</v>
          </cell>
        </row>
        <row r="48">
          <cell r="A48" t="str">
            <v>10:Q4</v>
          </cell>
          <cell r="B48">
            <v>30.24</v>
          </cell>
          <cell r="C48">
            <v>114.88</v>
          </cell>
          <cell r="D48">
            <v>136.78</v>
          </cell>
          <cell r="E48">
            <v>99.9</v>
          </cell>
          <cell r="F48">
            <v>44.58</v>
          </cell>
          <cell r="G48">
            <v>18.7</v>
          </cell>
        </row>
        <row r="49">
          <cell r="A49" t="str">
            <v>11:Q1</v>
          </cell>
          <cell r="B49">
            <v>18.559999999999999</v>
          </cell>
          <cell r="C49">
            <v>91.46</v>
          </cell>
          <cell r="D49">
            <v>113.54</v>
          </cell>
          <cell r="E49">
            <v>86.44</v>
          </cell>
          <cell r="F49">
            <v>39.380000000000003</v>
          </cell>
          <cell r="G49">
            <v>17.420000000000002</v>
          </cell>
        </row>
        <row r="50">
          <cell r="A50" t="str">
            <v>11:Q2</v>
          </cell>
          <cell r="B50">
            <v>13.36</v>
          </cell>
          <cell r="C50">
            <v>68.959999999999994</v>
          </cell>
          <cell r="D50">
            <v>86.3</v>
          </cell>
          <cell r="E50">
            <v>67.760000000000005</v>
          </cell>
          <cell r="F50">
            <v>33.1</v>
          </cell>
          <cell r="G50">
            <v>13.56</v>
          </cell>
        </row>
        <row r="51">
          <cell r="A51" t="str">
            <v>11:Q3</v>
          </cell>
          <cell r="B51">
            <v>13.06</v>
          </cell>
          <cell r="C51">
            <v>62.14</v>
          </cell>
          <cell r="D51">
            <v>83.94</v>
          </cell>
          <cell r="E51">
            <v>61.54</v>
          </cell>
          <cell r="F51">
            <v>29.18</v>
          </cell>
          <cell r="G51">
            <v>13.34</v>
          </cell>
        </row>
        <row r="52">
          <cell r="A52" t="str">
            <v>11:Q4</v>
          </cell>
          <cell r="B52">
            <v>15.38</v>
          </cell>
          <cell r="C52">
            <v>71.08</v>
          </cell>
          <cell r="D52">
            <v>88.28</v>
          </cell>
          <cell r="E52">
            <v>66.819999999999993</v>
          </cell>
          <cell r="F52">
            <v>32.36</v>
          </cell>
          <cell r="G52">
            <v>14.66</v>
          </cell>
        </row>
        <row r="53">
          <cell r="A53" t="str">
            <v>12:Q1</v>
          </cell>
          <cell r="B53">
            <v>11.42</v>
          </cell>
          <cell r="C53">
            <v>67.680000000000007</v>
          </cell>
          <cell r="D53">
            <v>88.32</v>
          </cell>
          <cell r="E53">
            <v>69.48</v>
          </cell>
          <cell r="F53">
            <v>34.979999999999997</v>
          </cell>
          <cell r="G53">
            <v>18.54</v>
          </cell>
        </row>
        <row r="54">
          <cell r="A54" t="str">
            <v>12:Q2</v>
          </cell>
          <cell r="B54">
            <v>11.36</v>
          </cell>
          <cell r="C54">
            <v>60.56</v>
          </cell>
          <cell r="D54">
            <v>75.14</v>
          </cell>
          <cell r="E54">
            <v>60.8</v>
          </cell>
          <cell r="F54">
            <v>31.54</v>
          </cell>
          <cell r="G54">
            <v>15.5</v>
          </cell>
        </row>
        <row r="55">
          <cell r="A55" t="str">
            <v>12:Q3</v>
          </cell>
          <cell r="B55">
            <v>11.04</v>
          </cell>
          <cell r="C55">
            <v>56.02</v>
          </cell>
          <cell r="D55">
            <v>73.040000000000006</v>
          </cell>
          <cell r="E55">
            <v>56.94</v>
          </cell>
          <cell r="F55">
            <v>29.68</v>
          </cell>
          <cell r="G55">
            <v>14.26</v>
          </cell>
        </row>
        <row r="56">
          <cell r="A56" t="str">
            <v>12:Q4</v>
          </cell>
          <cell r="B56">
            <v>9.66</v>
          </cell>
          <cell r="C56">
            <v>50.88</v>
          </cell>
          <cell r="D56">
            <v>59.58</v>
          </cell>
          <cell r="E56">
            <v>49.34</v>
          </cell>
          <cell r="F56">
            <v>26.16</v>
          </cell>
          <cell r="G56">
            <v>13.22</v>
          </cell>
        </row>
        <row r="57">
          <cell r="A57" t="str">
            <v>13:Q1</v>
          </cell>
          <cell r="B57">
            <v>6.84</v>
          </cell>
          <cell r="C57">
            <v>40.159999999999997</v>
          </cell>
          <cell r="D57">
            <v>53.88</v>
          </cell>
          <cell r="E57">
            <v>45.12</v>
          </cell>
          <cell r="F57">
            <v>23.88</v>
          </cell>
          <cell r="G57">
            <v>12.76</v>
          </cell>
        </row>
        <row r="58">
          <cell r="A58" t="str">
            <v>13:Q2</v>
          </cell>
          <cell r="B58">
            <v>6.66</v>
          </cell>
          <cell r="C58">
            <v>41.66</v>
          </cell>
          <cell r="D58">
            <v>60.2</v>
          </cell>
          <cell r="E58">
            <v>50.36</v>
          </cell>
          <cell r="F58">
            <v>25.98</v>
          </cell>
          <cell r="G58">
            <v>14.16</v>
          </cell>
        </row>
        <row r="59">
          <cell r="A59" t="str">
            <v>13:Q3</v>
          </cell>
          <cell r="B59">
            <v>6.56</v>
          </cell>
          <cell r="C59">
            <v>35.5</v>
          </cell>
          <cell r="D59">
            <v>48.34</v>
          </cell>
          <cell r="E59">
            <v>42.5</v>
          </cell>
          <cell r="F59">
            <v>22.34</v>
          </cell>
          <cell r="G59">
            <v>11.8</v>
          </cell>
        </row>
        <row r="60">
          <cell r="A60" t="str">
            <v>13:Q4</v>
          </cell>
          <cell r="B60">
            <v>7.64</v>
          </cell>
          <cell r="C60">
            <v>34.799999999999997</v>
          </cell>
          <cell r="D60">
            <v>46.52</v>
          </cell>
          <cell r="E60">
            <v>37.119999999999997</v>
          </cell>
          <cell r="F60">
            <v>20.14</v>
          </cell>
          <cell r="G60">
            <v>10.7</v>
          </cell>
        </row>
        <row r="61">
          <cell r="A61" t="str">
            <v>14:Q1</v>
          </cell>
          <cell r="B61">
            <v>4.68</v>
          </cell>
          <cell r="C61">
            <v>30.78</v>
          </cell>
          <cell r="D61">
            <v>43.7</v>
          </cell>
          <cell r="E61">
            <v>36.979999999999997</v>
          </cell>
          <cell r="F61">
            <v>17.920000000000002</v>
          </cell>
          <cell r="G61">
            <v>10.44</v>
          </cell>
        </row>
        <row r="62">
          <cell r="A62" t="str">
            <v>14:Q2</v>
          </cell>
          <cell r="B62">
            <v>3.3</v>
          </cell>
          <cell r="C62">
            <v>23.7</v>
          </cell>
          <cell r="D62">
            <v>33.28</v>
          </cell>
          <cell r="E62">
            <v>28.16</v>
          </cell>
          <cell r="F62">
            <v>16.7</v>
          </cell>
          <cell r="G62">
            <v>10.16</v>
          </cell>
        </row>
        <row r="63">
          <cell r="A63" t="str">
            <v>14:Q3</v>
          </cell>
          <cell r="B63">
            <v>3.28</v>
          </cell>
          <cell r="C63">
            <v>22.2</v>
          </cell>
          <cell r="D63">
            <v>32.68</v>
          </cell>
          <cell r="E63">
            <v>29.04</v>
          </cell>
          <cell r="F63">
            <v>15.8</v>
          </cell>
          <cell r="G63">
            <v>9.7799999999999905</v>
          </cell>
        </row>
        <row r="64">
          <cell r="A64" t="str">
            <v>14:Q4</v>
          </cell>
          <cell r="B64">
            <v>4.24</v>
          </cell>
          <cell r="C64">
            <v>24.94</v>
          </cell>
          <cell r="D64">
            <v>35.74</v>
          </cell>
          <cell r="E64">
            <v>30.1</v>
          </cell>
          <cell r="F64">
            <v>16.18</v>
          </cell>
          <cell r="G64">
            <v>10.36</v>
          </cell>
        </row>
        <row r="65">
          <cell r="A65" t="str">
            <v>15:Q1</v>
          </cell>
          <cell r="B65">
            <v>3.24</v>
          </cell>
          <cell r="C65">
            <v>23.04</v>
          </cell>
          <cell r="D65">
            <v>33.56</v>
          </cell>
          <cell r="E65">
            <v>27.96</v>
          </cell>
          <cell r="F65">
            <v>14.94</v>
          </cell>
          <cell r="G65">
            <v>9.08</v>
          </cell>
        </row>
        <row r="66">
          <cell r="A66" t="str">
            <v>15:Q2</v>
          </cell>
          <cell r="B66">
            <v>2.88</v>
          </cell>
          <cell r="C66">
            <v>19.079999999999998</v>
          </cell>
          <cell r="D66">
            <v>27.68</v>
          </cell>
          <cell r="E66">
            <v>23.4</v>
          </cell>
          <cell r="F66">
            <v>13.3</v>
          </cell>
          <cell r="G66">
            <v>8.52</v>
          </cell>
        </row>
        <row r="67">
          <cell r="A67" t="str">
            <v>15:Q3</v>
          </cell>
          <cell r="B67">
            <v>3.28</v>
          </cell>
          <cell r="C67">
            <v>18.399999999999999</v>
          </cell>
          <cell r="D67">
            <v>26.04</v>
          </cell>
          <cell r="E67">
            <v>22.86</v>
          </cell>
          <cell r="F67">
            <v>13.42</v>
          </cell>
          <cell r="G67">
            <v>8.16</v>
          </cell>
        </row>
        <row r="68">
          <cell r="A68" t="str">
            <v>15:Q4</v>
          </cell>
          <cell r="B68">
            <v>3.58</v>
          </cell>
          <cell r="C68">
            <v>20.2</v>
          </cell>
          <cell r="D68">
            <v>30.98</v>
          </cell>
          <cell r="E68">
            <v>27.02</v>
          </cell>
          <cell r="F68">
            <v>13.94</v>
          </cell>
          <cell r="G68">
            <v>8.14</v>
          </cell>
        </row>
        <row r="69">
          <cell r="A69" t="str">
            <v>16:Q1</v>
          </cell>
          <cell r="B69">
            <v>2.86</v>
          </cell>
          <cell r="C69">
            <v>17.760000000000002</v>
          </cell>
          <cell r="D69">
            <v>26.76</v>
          </cell>
          <cell r="E69">
            <v>25.58</v>
          </cell>
          <cell r="F69">
            <v>14.28</v>
          </cell>
          <cell r="G69">
            <v>9.44</v>
          </cell>
        </row>
        <row r="70">
          <cell r="A70" t="str">
            <v>16:Q2</v>
          </cell>
          <cell r="B70">
            <v>2.38</v>
          </cell>
          <cell r="C70">
            <v>15.6</v>
          </cell>
          <cell r="D70">
            <v>23.14</v>
          </cell>
          <cell r="E70">
            <v>20.440000000000001</v>
          </cell>
          <cell r="F70">
            <v>12.76</v>
          </cell>
          <cell r="G70">
            <v>8.3599999999999905</v>
          </cell>
        </row>
        <row r="71">
          <cell r="A71" t="str">
            <v>16:Q3</v>
          </cell>
          <cell r="B71">
            <v>2.72</v>
          </cell>
          <cell r="C71">
            <v>15.48</v>
          </cell>
          <cell r="D71">
            <v>22.36</v>
          </cell>
          <cell r="E71">
            <v>19.64</v>
          </cell>
          <cell r="F71">
            <v>11.86</v>
          </cell>
          <cell r="G71">
            <v>8.3599999999999905</v>
          </cell>
        </row>
        <row r="72">
          <cell r="A72" t="str">
            <v>16:Q4</v>
          </cell>
          <cell r="B72">
            <v>3.04</v>
          </cell>
          <cell r="C72">
            <v>15.4</v>
          </cell>
          <cell r="D72">
            <v>22.56</v>
          </cell>
          <cell r="E72">
            <v>19.34</v>
          </cell>
          <cell r="F72">
            <v>9.98</v>
          </cell>
          <cell r="G72">
            <v>8.2799999999999905</v>
          </cell>
        </row>
        <row r="73">
          <cell r="A73" t="str">
            <v>17:Q1</v>
          </cell>
          <cell r="B73">
            <v>2.7</v>
          </cell>
          <cell r="C73">
            <v>17.420000000000002</v>
          </cell>
          <cell r="D73">
            <v>25.3</v>
          </cell>
          <cell r="E73">
            <v>23.04</v>
          </cell>
          <cell r="F73">
            <v>13.06</v>
          </cell>
          <cell r="G73">
            <v>8.94</v>
          </cell>
        </row>
        <row r="74">
          <cell r="A74" t="str">
            <v>17:Q2</v>
          </cell>
          <cell r="B74">
            <v>2.12</v>
          </cell>
          <cell r="C74">
            <v>14.46</v>
          </cell>
          <cell r="D74">
            <v>22.5</v>
          </cell>
          <cell r="E74">
            <v>22.26</v>
          </cell>
          <cell r="F74">
            <v>13.3</v>
          </cell>
          <cell r="G74">
            <v>10</v>
          </cell>
        </row>
        <row r="75">
          <cell r="A75" t="str">
            <v>17:Q3</v>
          </cell>
          <cell r="B75">
            <v>2.36</v>
          </cell>
          <cell r="C75">
            <v>12.74</v>
          </cell>
          <cell r="D75">
            <v>18.059999999999999</v>
          </cell>
          <cell r="E75">
            <v>17.82</v>
          </cell>
          <cell r="F75">
            <v>10.96</v>
          </cell>
          <cell r="G75">
            <v>7.58</v>
          </cell>
        </row>
        <row r="76">
          <cell r="A76" t="str">
            <v>17:Q4</v>
          </cell>
          <cell r="B76">
            <v>2.7</v>
          </cell>
          <cell r="C76">
            <v>12.96</v>
          </cell>
          <cell r="D76">
            <v>18.920000000000002</v>
          </cell>
          <cell r="E76">
            <v>17.66</v>
          </cell>
          <cell r="F76">
            <v>9.42</v>
          </cell>
          <cell r="G76">
            <v>7.32</v>
          </cell>
        </row>
        <row r="77">
          <cell r="A77" t="str">
            <v>18:Q1</v>
          </cell>
          <cell r="B77">
            <v>2.36</v>
          </cell>
          <cell r="C77">
            <v>13.86</v>
          </cell>
          <cell r="D77">
            <v>21.84</v>
          </cell>
          <cell r="E77">
            <v>18.68</v>
          </cell>
          <cell r="F77">
            <v>11.46</v>
          </cell>
          <cell r="G77">
            <v>8.16</v>
          </cell>
        </row>
        <row r="78">
          <cell r="A78" t="str">
            <v>18:Q2</v>
          </cell>
          <cell r="B78">
            <v>2.78</v>
          </cell>
          <cell r="C78">
            <v>13.16</v>
          </cell>
          <cell r="D78">
            <v>19.54</v>
          </cell>
          <cell r="E78">
            <v>19.52</v>
          </cell>
          <cell r="F78">
            <v>11.8</v>
          </cell>
          <cell r="G78">
            <v>8.66</v>
          </cell>
        </row>
        <row r="79">
          <cell r="A79" t="str">
            <v>18:Q3</v>
          </cell>
          <cell r="B79">
            <v>2.34</v>
          </cell>
          <cell r="C79">
            <v>11.68</v>
          </cell>
          <cell r="D79">
            <v>15.88</v>
          </cell>
          <cell r="E79">
            <v>16.14</v>
          </cell>
          <cell r="F79">
            <v>10.1</v>
          </cell>
          <cell r="G79">
            <v>8.14</v>
          </cell>
        </row>
        <row r="80">
          <cell r="A80" t="str">
            <v>18:Q4</v>
          </cell>
          <cell r="B80">
            <v>2.92</v>
          </cell>
          <cell r="C80">
            <v>12.46</v>
          </cell>
          <cell r="D80">
            <v>19.12</v>
          </cell>
          <cell r="E80">
            <v>16.64</v>
          </cell>
          <cell r="F80">
            <v>9.66</v>
          </cell>
          <cell r="G80">
            <v>7.06</v>
          </cell>
        </row>
        <row r="81">
          <cell r="A81" t="str">
            <v>19:Q1</v>
          </cell>
          <cell r="B81">
            <v>2.92</v>
          </cell>
          <cell r="C81">
            <v>12.280000000000001</v>
          </cell>
          <cell r="D81">
            <v>20</v>
          </cell>
          <cell r="E81">
            <v>16.64</v>
          </cell>
          <cell r="F81">
            <v>11.28</v>
          </cell>
          <cell r="G81">
            <v>7.92</v>
          </cell>
        </row>
        <row r="82">
          <cell r="A82" t="str">
            <v>19:Q2</v>
          </cell>
          <cell r="B82">
            <v>2.68</v>
          </cell>
          <cell r="C82">
            <v>12.3</v>
          </cell>
          <cell r="D82">
            <v>17.2</v>
          </cell>
          <cell r="E82">
            <v>16.04</v>
          </cell>
          <cell r="F82">
            <v>9.6</v>
          </cell>
          <cell r="G82">
            <v>8.1</v>
          </cell>
        </row>
        <row r="83">
          <cell r="A83" t="str">
            <v>19:Q3</v>
          </cell>
          <cell r="B83">
            <v>2.68</v>
          </cell>
          <cell r="C83">
            <v>10.58</v>
          </cell>
          <cell r="D83">
            <v>17.440000000000001</v>
          </cell>
          <cell r="E83">
            <v>16.34</v>
          </cell>
          <cell r="F83">
            <v>9.8000000000000007</v>
          </cell>
          <cell r="G83">
            <v>7.72</v>
          </cell>
        </row>
        <row r="84">
          <cell r="A84" t="str">
            <v>19:Q4</v>
          </cell>
          <cell r="B84">
            <v>2.7800000000000002</v>
          </cell>
          <cell r="C84">
            <v>13.5</v>
          </cell>
          <cell r="D84">
            <v>19.080000000000002</v>
          </cell>
          <cell r="E84">
            <v>17.260000000000002</v>
          </cell>
          <cell r="F84">
            <v>10.24</v>
          </cell>
          <cell r="G84">
            <v>8.4600000000000009</v>
          </cell>
        </row>
        <row r="85">
          <cell r="A85" t="str">
            <v>20:Q1</v>
          </cell>
          <cell r="B85">
            <v>2.58</v>
          </cell>
          <cell r="C85">
            <v>14.36</v>
          </cell>
          <cell r="D85">
            <v>20.3</v>
          </cell>
          <cell r="E85">
            <v>17.98</v>
          </cell>
          <cell r="F85">
            <v>10.68</v>
          </cell>
          <cell r="G85">
            <v>8.82</v>
          </cell>
        </row>
        <row r="86">
          <cell r="A86" t="str">
            <v>20:Q2</v>
          </cell>
          <cell r="B86">
            <v>0.66</v>
          </cell>
          <cell r="C86">
            <v>3.16</v>
          </cell>
          <cell r="D86">
            <v>5.14</v>
          </cell>
          <cell r="E86">
            <v>6.78</v>
          </cell>
          <cell r="F86">
            <v>4.6000000000000005</v>
          </cell>
          <cell r="G86">
            <v>3.52</v>
          </cell>
        </row>
        <row r="87">
          <cell r="A87" t="str">
            <v>20:Q3</v>
          </cell>
          <cell r="B87">
            <v>0.44</v>
          </cell>
          <cell r="C87">
            <v>1.94</v>
          </cell>
          <cell r="D87">
            <v>3.44</v>
          </cell>
          <cell r="E87">
            <v>4.3</v>
          </cell>
          <cell r="F87">
            <v>3.04</v>
          </cell>
          <cell r="G87">
            <v>2.84</v>
          </cell>
        </row>
        <row r="88">
          <cell r="A88" t="str">
            <v>20:Q4</v>
          </cell>
          <cell r="B88">
            <v>0.36</v>
          </cell>
          <cell r="C88">
            <v>1.68</v>
          </cell>
          <cell r="D88">
            <v>3.04</v>
          </cell>
          <cell r="E88">
            <v>3.66</v>
          </cell>
          <cell r="F88">
            <v>2.98</v>
          </cell>
          <cell r="G88">
            <v>2.46</v>
          </cell>
        </row>
        <row r="89">
          <cell r="A89" t="str">
            <v>21:Q1</v>
          </cell>
          <cell r="B89">
            <v>0.44</v>
          </cell>
          <cell r="C89">
            <v>1.18</v>
          </cell>
          <cell r="D89">
            <v>2.2400000000000002</v>
          </cell>
          <cell r="E89">
            <v>2.72</v>
          </cell>
          <cell r="F89">
            <v>2.44</v>
          </cell>
          <cell r="G89">
            <v>2.38</v>
          </cell>
        </row>
        <row r="90">
          <cell r="A90" t="str">
            <v>21:Q2</v>
          </cell>
          <cell r="B90">
            <v>0.18</v>
          </cell>
          <cell r="C90">
            <v>0.96</v>
          </cell>
          <cell r="D90">
            <v>1.6600000000000001</v>
          </cell>
          <cell r="E90">
            <v>1.58</v>
          </cell>
          <cell r="F90">
            <v>1.56</v>
          </cell>
          <cell r="G90">
            <v>2.16</v>
          </cell>
        </row>
        <row r="91">
          <cell r="A91" t="str">
            <v>21:Q3</v>
          </cell>
          <cell r="B91">
            <v>0.16</v>
          </cell>
          <cell r="C91">
            <v>0.94000000000000006</v>
          </cell>
          <cell r="D91">
            <v>2.04</v>
          </cell>
          <cell r="E91">
            <v>2.42</v>
          </cell>
          <cell r="F91">
            <v>2.1800000000000002</v>
          </cell>
          <cell r="G91">
            <v>1.86</v>
          </cell>
        </row>
        <row r="92">
          <cell r="A92" t="str">
            <v>21:Q4</v>
          </cell>
          <cell r="B92">
            <v>0.36</v>
          </cell>
          <cell r="C92">
            <v>0.98</v>
          </cell>
          <cell r="D92">
            <v>1.6600000000000001</v>
          </cell>
          <cell r="E92">
            <v>1.98</v>
          </cell>
          <cell r="F92">
            <v>1.4000000000000001</v>
          </cell>
          <cell r="G92">
            <v>2.48</v>
          </cell>
        </row>
        <row r="93">
          <cell r="A93" t="str">
            <v>22:Q1</v>
          </cell>
          <cell r="B93">
            <v>0.82000000000000006</v>
          </cell>
          <cell r="C93">
            <v>3.9</v>
          </cell>
          <cell r="D93">
            <v>6.18</v>
          </cell>
          <cell r="E93">
            <v>5</v>
          </cell>
          <cell r="F93">
            <v>3.9</v>
          </cell>
          <cell r="G93">
            <v>4.42</v>
          </cell>
        </row>
        <row r="94">
          <cell r="A94" t="str">
            <v>22:Q2</v>
          </cell>
          <cell r="B94">
            <v>1.3800000000000001</v>
          </cell>
          <cell r="C94">
            <v>6.04</v>
          </cell>
          <cell r="D94">
            <v>7.16</v>
          </cell>
          <cell r="E94">
            <v>7.22</v>
          </cell>
          <cell r="F94">
            <v>5.96</v>
          </cell>
          <cell r="G94">
            <v>7.24</v>
          </cell>
        </row>
        <row r="95">
          <cell r="A95" t="str">
            <v>22:Q3</v>
          </cell>
          <cell r="B95">
            <v>1.6</v>
          </cell>
          <cell r="C95">
            <v>5.18</v>
          </cell>
          <cell r="D95">
            <v>6.68</v>
          </cell>
          <cell r="E95">
            <v>5.88</v>
          </cell>
          <cell r="F95">
            <v>4.2</v>
          </cell>
          <cell r="G95">
            <v>4.88</v>
          </cell>
        </row>
        <row r="96">
          <cell r="A96" t="str">
            <v>22:Q4</v>
          </cell>
          <cell r="B96">
            <v>1.62</v>
          </cell>
          <cell r="C96">
            <v>6.5600000000000005</v>
          </cell>
          <cell r="D96">
            <v>8.7000000000000011</v>
          </cell>
          <cell r="E96">
            <v>7.2</v>
          </cell>
          <cell r="F96">
            <v>4.72</v>
          </cell>
          <cell r="G96">
            <v>5.38</v>
          </cell>
        </row>
        <row r="97">
          <cell r="A97" t="str">
            <v>23:Q1</v>
          </cell>
          <cell r="B97">
            <v>1.72</v>
          </cell>
          <cell r="C97">
            <v>7.08</v>
          </cell>
          <cell r="D97">
            <v>9.0400000000000009</v>
          </cell>
          <cell r="E97">
            <v>7.24</v>
          </cell>
          <cell r="F97">
            <v>4.9800000000000004</v>
          </cell>
          <cell r="G97">
            <v>5.58</v>
          </cell>
        </row>
        <row r="98">
          <cell r="A98" t="str">
            <v>23:Q2</v>
          </cell>
          <cell r="B98">
            <v>2.02</v>
          </cell>
          <cell r="C98">
            <v>7.3</v>
          </cell>
          <cell r="D98">
            <v>9.64</v>
          </cell>
          <cell r="E98">
            <v>7.96</v>
          </cell>
          <cell r="F98">
            <v>5.34</v>
          </cell>
          <cell r="G98">
            <v>6.48</v>
          </cell>
        </row>
        <row r="99">
          <cell r="A99" t="str">
            <v>23:Q3</v>
          </cell>
          <cell r="B99">
            <v>1.82</v>
          </cell>
          <cell r="C99">
            <v>7.18</v>
          </cell>
          <cell r="D99">
            <v>8.7799999999999994</v>
          </cell>
          <cell r="E99">
            <v>7.74</v>
          </cell>
          <cell r="F99">
            <v>5.68</v>
          </cell>
          <cell r="G99">
            <v>4.84</v>
          </cell>
        </row>
        <row r="100">
          <cell r="A100" t="str">
            <v>23:Q4</v>
          </cell>
          <cell r="B100">
            <v>2.2200000000000002</v>
          </cell>
          <cell r="C100">
            <v>7.36</v>
          </cell>
          <cell r="D100">
            <v>9.2200000000000006</v>
          </cell>
          <cell r="E100">
            <v>9.2200000000000006</v>
          </cell>
          <cell r="F100">
            <v>5.88</v>
          </cell>
          <cell r="G100">
            <v>6.22</v>
          </cell>
        </row>
        <row r="101">
          <cell r="A101" t="str">
            <v>24:Q1</v>
          </cell>
          <cell r="B101">
            <v>1.76</v>
          </cell>
          <cell r="C101">
            <v>8.18</v>
          </cell>
          <cell r="D101">
            <v>11.78</v>
          </cell>
          <cell r="E101">
            <v>9.58</v>
          </cell>
          <cell r="F101">
            <v>6.66</v>
          </cell>
          <cell r="G101">
            <v>6.12</v>
          </cell>
        </row>
        <row r="102">
          <cell r="A102" t="str">
            <v>24:Q2</v>
          </cell>
          <cell r="B102">
            <v>2.2999999999999998</v>
          </cell>
          <cell r="C102">
            <v>7.0600000000000005</v>
          </cell>
          <cell r="D102">
            <v>11.46</v>
          </cell>
          <cell r="E102">
            <v>11.22</v>
          </cell>
          <cell r="F102">
            <v>7.16</v>
          </cell>
          <cell r="G102">
            <v>7.88</v>
          </cell>
        </row>
        <row r="103">
          <cell r="A103" t="str">
            <v>24:Q3</v>
          </cell>
          <cell r="B103">
            <v>2.14</v>
          </cell>
          <cell r="C103">
            <v>7.48</v>
          </cell>
          <cell r="D103">
            <v>9.58</v>
          </cell>
          <cell r="E103">
            <v>9.3000000000000007</v>
          </cell>
          <cell r="F103">
            <v>6.18</v>
          </cell>
          <cell r="G103">
            <v>6.74</v>
          </cell>
        </row>
        <row r="104">
          <cell r="A104" t="str">
            <v>24:Q4</v>
          </cell>
          <cell r="B104">
            <v>2.1800000000000002</v>
          </cell>
          <cell r="C104">
            <v>8.32</v>
          </cell>
          <cell r="D104">
            <v>10.16</v>
          </cell>
          <cell r="E104">
            <v>9.14</v>
          </cell>
          <cell r="F104">
            <v>6.42</v>
          </cell>
          <cell r="G104">
            <v>4.92</v>
          </cell>
        </row>
        <row r="105">
          <cell r="A105" t="str">
            <v>25:Q1</v>
          </cell>
          <cell r="B105">
            <v>2.44</v>
          </cell>
          <cell r="C105">
            <v>10.74</v>
          </cell>
          <cell r="D105">
            <v>15.56</v>
          </cell>
          <cell r="E105">
            <v>13.94</v>
          </cell>
          <cell r="F105">
            <v>9.86</v>
          </cell>
          <cell r="G105">
            <v>9.08</v>
          </cell>
        </row>
        <row r="106">
          <cell r="A106" t="str">
            <v>25:Q2</v>
          </cell>
          <cell r="B106">
            <v>2.64</v>
          </cell>
          <cell r="C106">
            <v>9.5</v>
          </cell>
          <cell r="D106">
            <v>12.4</v>
          </cell>
          <cell r="E106">
            <v>11.74</v>
          </cell>
          <cell r="F106">
            <v>8.3800000000000008</v>
          </cell>
          <cell r="G106">
            <v>8.06</v>
          </cell>
        </row>
        <row r="107">
          <cell r="A107" t="str">
            <v>25:Q3</v>
          </cell>
          <cell r="B107">
            <v>3.14</v>
          </cell>
          <cell r="C107">
            <v>10</v>
          </cell>
          <cell r="D107">
            <v>13.94</v>
          </cell>
          <cell r="E107">
            <v>12.72</v>
          </cell>
          <cell r="F107">
            <v>7.94</v>
          </cell>
          <cell r="G107">
            <v>6.88</v>
          </cell>
        </row>
        <row r="108">
          <cell r="A108" t="str">
            <v>25:Q4</v>
          </cell>
          <cell r="B108">
            <v>3.06</v>
          </cell>
          <cell r="C108">
            <v>11.28</v>
          </cell>
          <cell r="D108">
            <v>15.4</v>
          </cell>
          <cell r="E108">
            <v>12.16</v>
          </cell>
          <cell r="F108">
            <v>8.32</v>
          </cell>
          <cell r="G108">
            <v>7.84</v>
          </cell>
        </row>
        <row r="109">
          <cell r="A109" t="str">
            <v>26:Q1</v>
          </cell>
          <cell r="B109">
            <v>3.4</v>
          </cell>
          <cell r="C109">
            <v>11.56</v>
          </cell>
          <cell r="D109">
            <v>15.38</v>
          </cell>
          <cell r="E109">
            <v>12.280000000000001</v>
          </cell>
          <cell r="F109">
            <v>8.66</v>
          </cell>
          <cell r="G109">
            <v>7.82</v>
          </cell>
        </row>
      </sheetData>
      <sheetData sheetId="52" refreshError="1"/>
      <sheetData sheetId="53">
        <row r="1">
          <cell r="A1" t="str">
            <v>New Bankruptcy By Age</v>
          </cell>
        </row>
        <row r="2">
          <cell r="A2" t="str">
            <v>Thousands</v>
          </cell>
        </row>
        <row r="4">
          <cell r="A4" t="str">
            <v>quarter</v>
          </cell>
          <cell r="B4" t="str">
            <v>18-29</v>
          </cell>
          <cell r="C4" t="str">
            <v>30-39</v>
          </cell>
          <cell r="D4" t="str">
            <v>40-49</v>
          </cell>
          <cell r="E4" t="str">
            <v>50-59</v>
          </cell>
          <cell r="F4" t="str">
            <v>60-69</v>
          </cell>
          <cell r="G4" t="str">
            <v>70+</v>
          </cell>
        </row>
        <row r="5">
          <cell r="A5" t="str">
            <v>00:Q1</v>
          </cell>
          <cell r="B5">
            <v>61.86</v>
          </cell>
          <cell r="C5">
            <v>117.1</v>
          </cell>
          <cell r="D5">
            <v>108.38</v>
          </cell>
          <cell r="E5">
            <v>63.04</v>
          </cell>
          <cell r="F5">
            <v>25.2</v>
          </cell>
          <cell r="G5">
            <v>17.84</v>
          </cell>
        </row>
        <row r="6">
          <cell r="A6" t="str">
            <v>00:Q2</v>
          </cell>
          <cell r="B6">
            <v>74.44</v>
          </cell>
          <cell r="C6">
            <v>157.16</v>
          </cell>
          <cell r="D6">
            <v>135.18</v>
          </cell>
          <cell r="E6">
            <v>79.94</v>
          </cell>
          <cell r="F6">
            <v>30.04</v>
          </cell>
          <cell r="G6">
            <v>19.559999999999999</v>
          </cell>
        </row>
        <row r="7">
          <cell r="A7" t="str">
            <v>00:Q3</v>
          </cell>
          <cell r="B7">
            <v>72.36</v>
          </cell>
          <cell r="C7">
            <v>129.54</v>
          </cell>
          <cell r="D7">
            <v>111.94</v>
          </cell>
          <cell r="E7">
            <v>66.2</v>
          </cell>
          <cell r="F7">
            <v>25.42</v>
          </cell>
          <cell r="G7">
            <v>16.16</v>
          </cell>
        </row>
        <row r="8">
          <cell r="A8" t="str">
            <v>00:Q4</v>
          </cell>
          <cell r="B8">
            <v>75.52</v>
          </cell>
          <cell r="C8">
            <v>130.5</v>
          </cell>
          <cell r="D8">
            <v>115.6</v>
          </cell>
          <cell r="E8">
            <v>66.34</v>
          </cell>
          <cell r="F8">
            <v>24.94</v>
          </cell>
          <cell r="G8">
            <v>15.56</v>
          </cell>
        </row>
        <row r="9">
          <cell r="A9" t="str">
            <v>01:Q1</v>
          </cell>
          <cell r="B9">
            <v>63.02</v>
          </cell>
          <cell r="C9">
            <v>129.62</v>
          </cell>
          <cell r="D9">
            <v>118.3</v>
          </cell>
          <cell r="E9">
            <v>70.459999999999994</v>
          </cell>
          <cell r="F9">
            <v>27.44</v>
          </cell>
          <cell r="G9">
            <v>18.04</v>
          </cell>
        </row>
        <row r="10">
          <cell r="A10" t="str">
            <v>01:Q2</v>
          </cell>
          <cell r="B10">
            <v>90.7</v>
          </cell>
          <cell r="C10">
            <v>181.82</v>
          </cell>
          <cell r="D10">
            <v>168.38</v>
          </cell>
          <cell r="E10">
            <v>104.18</v>
          </cell>
          <cell r="F10">
            <v>40.98</v>
          </cell>
          <cell r="G10">
            <v>25</v>
          </cell>
        </row>
        <row r="11">
          <cell r="A11" t="str">
            <v>01:Q3</v>
          </cell>
          <cell r="B11">
            <v>75.42</v>
          </cell>
          <cell r="C11">
            <v>140.24</v>
          </cell>
          <cell r="D11">
            <v>129.80000000000001</v>
          </cell>
          <cell r="E11">
            <v>77.819999999999993</v>
          </cell>
          <cell r="F11">
            <v>31.56</v>
          </cell>
          <cell r="G11">
            <v>20.02</v>
          </cell>
        </row>
        <row r="12">
          <cell r="A12" t="str">
            <v>01:Q4</v>
          </cell>
          <cell r="B12">
            <v>82.68</v>
          </cell>
          <cell r="C12">
            <v>154.08000000000001</v>
          </cell>
          <cell r="D12">
            <v>139.88</v>
          </cell>
          <cell r="E12">
            <v>82.96</v>
          </cell>
          <cell r="F12">
            <v>31.68</v>
          </cell>
          <cell r="G12">
            <v>21.02</v>
          </cell>
        </row>
        <row r="13">
          <cell r="A13" t="str">
            <v>02:Q1</v>
          </cell>
          <cell r="B13">
            <v>100.32</v>
          </cell>
          <cell r="C13">
            <v>197.26</v>
          </cell>
          <cell r="D13">
            <v>187.78</v>
          </cell>
          <cell r="E13">
            <v>123.64</v>
          </cell>
          <cell r="F13">
            <v>50.78</v>
          </cell>
          <cell r="G13">
            <v>29.8</v>
          </cell>
        </row>
        <row r="14">
          <cell r="A14" t="str">
            <v>02:Q2</v>
          </cell>
          <cell r="B14">
            <v>79.64</v>
          </cell>
          <cell r="C14">
            <v>154.38</v>
          </cell>
          <cell r="D14">
            <v>141.18</v>
          </cell>
          <cell r="E14">
            <v>89.02</v>
          </cell>
          <cell r="F14">
            <v>33.86</v>
          </cell>
          <cell r="G14">
            <v>18.96</v>
          </cell>
        </row>
        <row r="15">
          <cell r="A15" t="str">
            <v>02:Q3</v>
          </cell>
          <cell r="B15">
            <v>72.72</v>
          </cell>
          <cell r="C15">
            <v>146.41999999999999</v>
          </cell>
          <cell r="D15">
            <v>140.06</v>
          </cell>
          <cell r="E15">
            <v>88.94</v>
          </cell>
          <cell r="F15">
            <v>34.24</v>
          </cell>
          <cell r="G15">
            <v>18.079999999999998</v>
          </cell>
        </row>
        <row r="16">
          <cell r="A16" t="str">
            <v>02:Q4</v>
          </cell>
          <cell r="B16">
            <v>74.900000000000006</v>
          </cell>
          <cell r="C16">
            <v>145.66</v>
          </cell>
          <cell r="D16">
            <v>143.19999999999999</v>
          </cell>
          <cell r="E16">
            <v>88.26</v>
          </cell>
          <cell r="F16">
            <v>36.880000000000003</v>
          </cell>
          <cell r="G16">
            <v>18.760000000000002</v>
          </cell>
        </row>
        <row r="17">
          <cell r="A17" t="str">
            <v>03:Q1</v>
          </cell>
          <cell r="B17">
            <v>68.66</v>
          </cell>
          <cell r="C17">
            <v>156.96</v>
          </cell>
          <cell r="D17">
            <v>165.44</v>
          </cell>
          <cell r="E17">
            <v>108.78</v>
          </cell>
          <cell r="F17">
            <v>47.3</v>
          </cell>
          <cell r="G17">
            <v>28.52</v>
          </cell>
        </row>
        <row r="18">
          <cell r="A18" t="str">
            <v>03:Q2</v>
          </cell>
          <cell r="B18">
            <v>77.7</v>
          </cell>
          <cell r="C18">
            <v>166.54</v>
          </cell>
          <cell r="D18">
            <v>166.3</v>
          </cell>
          <cell r="E18">
            <v>106.36</v>
          </cell>
          <cell r="F18">
            <v>43.32</v>
          </cell>
          <cell r="G18">
            <v>24.1</v>
          </cell>
        </row>
        <row r="19">
          <cell r="A19" t="str">
            <v>03:Q3</v>
          </cell>
          <cell r="B19">
            <v>67.739999999999895</v>
          </cell>
          <cell r="C19">
            <v>139.26</v>
          </cell>
          <cell r="D19">
            <v>144.19999999999999</v>
          </cell>
          <cell r="E19">
            <v>90.44</v>
          </cell>
          <cell r="F19">
            <v>38.479999999999997</v>
          </cell>
          <cell r="G19">
            <v>22.24</v>
          </cell>
        </row>
        <row r="20">
          <cell r="A20" t="str">
            <v>03:Q4</v>
          </cell>
          <cell r="B20">
            <v>66.02</v>
          </cell>
          <cell r="C20">
            <v>130.04</v>
          </cell>
          <cell r="D20">
            <v>135</v>
          </cell>
          <cell r="E20">
            <v>89.42</v>
          </cell>
          <cell r="F20">
            <v>37.56</v>
          </cell>
          <cell r="G20">
            <v>20.260000000000002</v>
          </cell>
        </row>
        <row r="21">
          <cell r="A21" t="str">
            <v>04:Q1</v>
          </cell>
          <cell r="B21">
            <v>60.56</v>
          </cell>
          <cell r="C21">
            <v>135.52000000000001</v>
          </cell>
          <cell r="D21">
            <v>143.6</v>
          </cell>
          <cell r="E21">
            <v>93.12</v>
          </cell>
          <cell r="F21">
            <v>40.68</v>
          </cell>
          <cell r="G21">
            <v>22.66</v>
          </cell>
        </row>
        <row r="22">
          <cell r="A22" t="str">
            <v>04:Q2</v>
          </cell>
          <cell r="B22">
            <v>69.8</v>
          </cell>
          <cell r="C22">
            <v>146.80000000000001</v>
          </cell>
          <cell r="D22">
            <v>153.58000000000001</v>
          </cell>
          <cell r="E22">
            <v>99.18</v>
          </cell>
          <cell r="F22">
            <v>44.3</v>
          </cell>
          <cell r="G22">
            <v>22.1</v>
          </cell>
        </row>
        <row r="23">
          <cell r="A23" t="str">
            <v>04:Q3</v>
          </cell>
          <cell r="B23">
            <v>66.92</v>
          </cell>
          <cell r="C23">
            <v>134.34</v>
          </cell>
          <cell r="D23">
            <v>135.56</v>
          </cell>
          <cell r="E23">
            <v>92.739999999999895</v>
          </cell>
          <cell r="F23">
            <v>37.880000000000003</v>
          </cell>
          <cell r="G23">
            <v>21.58</v>
          </cell>
        </row>
        <row r="24">
          <cell r="A24" t="str">
            <v>04:Q4</v>
          </cell>
          <cell r="B24">
            <v>75.760000000000005</v>
          </cell>
          <cell r="C24">
            <v>151.02000000000001</v>
          </cell>
          <cell r="D24">
            <v>153.16</v>
          </cell>
          <cell r="E24">
            <v>102.98</v>
          </cell>
          <cell r="F24">
            <v>41.78</v>
          </cell>
          <cell r="G24">
            <v>22.5</v>
          </cell>
        </row>
        <row r="25">
          <cell r="A25" t="str">
            <v>05:Q1</v>
          </cell>
          <cell r="B25">
            <v>56.02</v>
          </cell>
          <cell r="C25">
            <v>119.62</v>
          </cell>
          <cell r="D25">
            <v>125.52</v>
          </cell>
          <cell r="E25">
            <v>87.14</v>
          </cell>
          <cell r="F25">
            <v>36.92</v>
          </cell>
          <cell r="G25">
            <v>21.4</v>
          </cell>
        </row>
        <row r="26">
          <cell r="A26" t="str">
            <v>05:Q2</v>
          </cell>
          <cell r="B26">
            <v>83.46</v>
          </cell>
          <cell r="C26">
            <v>174.96</v>
          </cell>
          <cell r="D26">
            <v>178.98</v>
          </cell>
          <cell r="E26">
            <v>127.16</v>
          </cell>
          <cell r="F26">
            <v>55.3</v>
          </cell>
          <cell r="G26">
            <v>29.22</v>
          </cell>
        </row>
        <row r="27">
          <cell r="A27" t="str">
            <v>05:Q3</v>
          </cell>
          <cell r="B27">
            <v>90.46</v>
          </cell>
          <cell r="C27">
            <v>177.98</v>
          </cell>
          <cell r="D27">
            <v>176.7</v>
          </cell>
          <cell r="E27">
            <v>126.84</v>
          </cell>
          <cell r="F27">
            <v>54.7</v>
          </cell>
          <cell r="G27">
            <v>30.64</v>
          </cell>
        </row>
        <row r="28">
          <cell r="A28" t="str">
            <v>05:Q4</v>
          </cell>
          <cell r="B28">
            <v>142.78</v>
          </cell>
          <cell r="C28">
            <v>257.89999999999998</v>
          </cell>
          <cell r="D28">
            <v>257.14</v>
          </cell>
          <cell r="E28">
            <v>173.72</v>
          </cell>
          <cell r="F28">
            <v>68.400000000000006</v>
          </cell>
          <cell r="G28">
            <v>33.26</v>
          </cell>
        </row>
        <row r="29">
          <cell r="A29" t="str">
            <v>06:Q1</v>
          </cell>
          <cell r="B29">
            <v>21.88</v>
          </cell>
          <cell r="C29">
            <v>48.38</v>
          </cell>
          <cell r="D29">
            <v>52.76</v>
          </cell>
          <cell r="E29">
            <v>37.24</v>
          </cell>
          <cell r="F29">
            <v>16.420000000000002</v>
          </cell>
          <cell r="G29">
            <v>10.14</v>
          </cell>
        </row>
        <row r="30">
          <cell r="A30" t="str">
            <v>06:Q2</v>
          </cell>
          <cell r="B30">
            <v>25.72</v>
          </cell>
          <cell r="C30">
            <v>63.72</v>
          </cell>
          <cell r="D30">
            <v>69</v>
          </cell>
          <cell r="E30">
            <v>49.48</v>
          </cell>
          <cell r="F30">
            <v>23.22</v>
          </cell>
          <cell r="G30">
            <v>13.54</v>
          </cell>
        </row>
        <row r="31">
          <cell r="A31" t="str">
            <v>06:Q3</v>
          </cell>
          <cell r="B31">
            <v>28.58</v>
          </cell>
          <cell r="C31">
            <v>68.400000000000006</v>
          </cell>
          <cell r="D31">
            <v>75.58</v>
          </cell>
          <cell r="E31">
            <v>56.16</v>
          </cell>
          <cell r="F31">
            <v>24.48</v>
          </cell>
          <cell r="G31">
            <v>13.28</v>
          </cell>
        </row>
        <row r="32">
          <cell r="A32" t="str">
            <v>06:Q4</v>
          </cell>
          <cell r="B32">
            <v>32.4</v>
          </cell>
          <cell r="C32">
            <v>71.38</v>
          </cell>
          <cell r="D32">
            <v>75.959999999999994</v>
          </cell>
          <cell r="E32">
            <v>53.72</v>
          </cell>
          <cell r="F32">
            <v>25.04</v>
          </cell>
          <cell r="G32">
            <v>14.46</v>
          </cell>
        </row>
        <row r="33">
          <cell r="A33" t="str">
            <v>07:Q1</v>
          </cell>
          <cell r="B33">
            <v>27.62</v>
          </cell>
          <cell r="C33">
            <v>67.040000000000006</v>
          </cell>
          <cell r="D33">
            <v>73.02</v>
          </cell>
          <cell r="E33">
            <v>51.82</v>
          </cell>
          <cell r="F33">
            <v>24.66</v>
          </cell>
          <cell r="G33">
            <v>12.14</v>
          </cell>
        </row>
        <row r="34">
          <cell r="A34" t="str">
            <v>07:Q2</v>
          </cell>
          <cell r="B34">
            <v>32.18</v>
          </cell>
          <cell r="C34">
            <v>76.760000000000005</v>
          </cell>
          <cell r="D34">
            <v>78.72</v>
          </cell>
          <cell r="E34">
            <v>60.14</v>
          </cell>
          <cell r="F34">
            <v>25.86</v>
          </cell>
          <cell r="G34">
            <v>13.74</v>
          </cell>
        </row>
        <row r="35">
          <cell r="A35" t="str">
            <v>07:Q3</v>
          </cell>
          <cell r="B35">
            <v>33.18</v>
          </cell>
          <cell r="C35">
            <v>82.82</v>
          </cell>
          <cell r="D35">
            <v>90.12</v>
          </cell>
          <cell r="E35">
            <v>64.7</v>
          </cell>
          <cell r="F35">
            <v>29.2</v>
          </cell>
          <cell r="G35">
            <v>14.26</v>
          </cell>
        </row>
        <row r="36">
          <cell r="A36" t="str">
            <v>07:Q4</v>
          </cell>
          <cell r="B36">
            <v>36.04</v>
          </cell>
          <cell r="C36">
            <v>91.2</v>
          </cell>
          <cell r="D36">
            <v>99.94</v>
          </cell>
          <cell r="E36">
            <v>72.180000000000007</v>
          </cell>
          <cell r="F36">
            <v>31.98</v>
          </cell>
          <cell r="G36">
            <v>15.38</v>
          </cell>
        </row>
        <row r="37">
          <cell r="A37" t="str">
            <v>08:Q1</v>
          </cell>
          <cell r="B37">
            <v>32.86</v>
          </cell>
          <cell r="C37">
            <v>83.18</v>
          </cell>
          <cell r="D37">
            <v>92.32</v>
          </cell>
          <cell r="E37">
            <v>66.94</v>
          </cell>
          <cell r="F37">
            <v>31.4</v>
          </cell>
          <cell r="G37">
            <v>15.2</v>
          </cell>
        </row>
        <row r="38">
          <cell r="A38" t="str">
            <v>08:Q2</v>
          </cell>
          <cell r="B38">
            <v>38.78</v>
          </cell>
          <cell r="C38">
            <v>99.38</v>
          </cell>
          <cell r="D38">
            <v>109.68</v>
          </cell>
          <cell r="E38">
            <v>79.099999999999994</v>
          </cell>
          <cell r="F38">
            <v>37.22</v>
          </cell>
          <cell r="G38">
            <v>16.8</v>
          </cell>
        </row>
        <row r="39">
          <cell r="A39" t="str">
            <v>08:Q3</v>
          </cell>
          <cell r="B39">
            <v>38.340000000000003</v>
          </cell>
          <cell r="C39">
            <v>105.26</v>
          </cell>
          <cell r="D39">
            <v>115.04</v>
          </cell>
          <cell r="E39">
            <v>83.9</v>
          </cell>
          <cell r="F39">
            <v>38.44</v>
          </cell>
          <cell r="G39">
            <v>16.36</v>
          </cell>
        </row>
        <row r="40">
          <cell r="A40" t="str">
            <v>08:Q4</v>
          </cell>
          <cell r="B40">
            <v>41.02</v>
          </cell>
          <cell r="C40">
            <v>107.88</v>
          </cell>
          <cell r="D40">
            <v>121.56</v>
          </cell>
          <cell r="E40">
            <v>91.02</v>
          </cell>
          <cell r="F40">
            <v>43.52</v>
          </cell>
          <cell r="G40">
            <v>19.3</v>
          </cell>
        </row>
        <row r="41">
          <cell r="A41" t="str">
            <v>09:Q1</v>
          </cell>
          <cell r="B41">
            <v>36.14</v>
          </cell>
          <cell r="C41">
            <v>101.92</v>
          </cell>
          <cell r="D41">
            <v>115.06</v>
          </cell>
          <cell r="E41">
            <v>89.94</v>
          </cell>
          <cell r="F41">
            <v>46.76</v>
          </cell>
          <cell r="G41">
            <v>19.96</v>
          </cell>
        </row>
        <row r="42">
          <cell r="A42" t="str">
            <v>09:Q2</v>
          </cell>
          <cell r="B42">
            <v>45.36</v>
          </cell>
          <cell r="C42">
            <v>134.30000000000001</v>
          </cell>
          <cell r="D42">
            <v>151.9</v>
          </cell>
          <cell r="E42">
            <v>113.08</v>
          </cell>
          <cell r="F42">
            <v>53.72</v>
          </cell>
          <cell r="G42">
            <v>22.94</v>
          </cell>
        </row>
        <row r="43">
          <cell r="A43" t="str">
            <v>09:Q3</v>
          </cell>
          <cell r="B43">
            <v>43.14</v>
          </cell>
          <cell r="C43">
            <v>125.72</v>
          </cell>
          <cell r="D43">
            <v>150.84</v>
          </cell>
          <cell r="E43">
            <v>115.84</v>
          </cell>
          <cell r="F43">
            <v>56.44</v>
          </cell>
          <cell r="G43">
            <v>22.8</v>
          </cell>
        </row>
        <row r="44">
          <cell r="A44" t="str">
            <v>09:Q4</v>
          </cell>
          <cell r="B44">
            <v>39.76</v>
          </cell>
          <cell r="C44">
            <v>120.38</v>
          </cell>
          <cell r="D44">
            <v>141.88</v>
          </cell>
          <cell r="E44">
            <v>110.3</v>
          </cell>
          <cell r="F44">
            <v>52.66</v>
          </cell>
          <cell r="G44">
            <v>20.72</v>
          </cell>
        </row>
        <row r="45">
          <cell r="A45" t="str">
            <v>10:Q1</v>
          </cell>
          <cell r="B45">
            <v>32.880000000000003</v>
          </cell>
          <cell r="C45">
            <v>109.74</v>
          </cell>
          <cell r="D45">
            <v>134.62</v>
          </cell>
          <cell r="E45">
            <v>107.18</v>
          </cell>
          <cell r="F45">
            <v>54.62</v>
          </cell>
          <cell r="G45">
            <v>22.56</v>
          </cell>
        </row>
        <row r="46">
          <cell r="A46" t="str">
            <v>10:Q2</v>
          </cell>
          <cell r="B46">
            <v>44.42</v>
          </cell>
          <cell r="C46">
            <v>147.72</v>
          </cell>
          <cell r="D46">
            <v>181.98</v>
          </cell>
          <cell r="E46">
            <v>144.74</v>
          </cell>
          <cell r="F46">
            <v>71.06</v>
          </cell>
          <cell r="G46">
            <v>29.56</v>
          </cell>
        </row>
        <row r="47">
          <cell r="A47" t="str">
            <v>10:Q3</v>
          </cell>
          <cell r="B47">
            <v>36.14</v>
          </cell>
          <cell r="C47">
            <v>119.84</v>
          </cell>
          <cell r="D47">
            <v>153.62</v>
          </cell>
          <cell r="E47">
            <v>123.42</v>
          </cell>
          <cell r="F47">
            <v>62.66</v>
          </cell>
          <cell r="G47">
            <v>24.62</v>
          </cell>
        </row>
        <row r="48">
          <cell r="A48" t="str">
            <v>10:Q4</v>
          </cell>
          <cell r="B48">
            <v>35.58</v>
          </cell>
          <cell r="C48">
            <v>116.76</v>
          </cell>
          <cell r="D48">
            <v>149.36000000000001</v>
          </cell>
          <cell r="E48">
            <v>116</v>
          </cell>
          <cell r="F48">
            <v>57.48</v>
          </cell>
          <cell r="G48">
            <v>23.6</v>
          </cell>
        </row>
        <row r="49">
          <cell r="A49" t="str">
            <v>11:Q1</v>
          </cell>
          <cell r="B49">
            <v>27.4</v>
          </cell>
          <cell r="C49">
            <v>97.7</v>
          </cell>
          <cell r="D49">
            <v>126.34</v>
          </cell>
          <cell r="E49">
            <v>101.66</v>
          </cell>
          <cell r="F49">
            <v>56.36</v>
          </cell>
          <cell r="G49">
            <v>23.16</v>
          </cell>
        </row>
        <row r="50">
          <cell r="A50" t="str">
            <v>11:Q2</v>
          </cell>
          <cell r="B50">
            <v>31.62</v>
          </cell>
          <cell r="C50">
            <v>108.88</v>
          </cell>
          <cell r="D50">
            <v>142.22</v>
          </cell>
          <cell r="E50">
            <v>110.26</v>
          </cell>
          <cell r="F50">
            <v>56.06</v>
          </cell>
          <cell r="G50">
            <v>22.96</v>
          </cell>
        </row>
        <row r="51">
          <cell r="A51" t="str">
            <v>11:Q3</v>
          </cell>
          <cell r="B51">
            <v>29.7</v>
          </cell>
          <cell r="C51">
            <v>95.44</v>
          </cell>
          <cell r="D51">
            <v>124.38</v>
          </cell>
          <cell r="E51">
            <v>101.38</v>
          </cell>
          <cell r="F51">
            <v>50.7</v>
          </cell>
          <cell r="G51">
            <v>20.74</v>
          </cell>
        </row>
        <row r="52">
          <cell r="A52" t="str">
            <v>11:Q4</v>
          </cell>
          <cell r="B52">
            <v>26.72</v>
          </cell>
          <cell r="C52">
            <v>95.56</v>
          </cell>
          <cell r="D52">
            <v>129.6</v>
          </cell>
          <cell r="E52">
            <v>100.98</v>
          </cell>
          <cell r="F52">
            <v>50.18</v>
          </cell>
          <cell r="G52">
            <v>21.32</v>
          </cell>
        </row>
        <row r="53">
          <cell r="A53" t="str">
            <v>12:Q1</v>
          </cell>
          <cell r="B53">
            <v>22.14</v>
          </cell>
          <cell r="C53">
            <v>81.36</v>
          </cell>
          <cell r="D53">
            <v>109.8</v>
          </cell>
          <cell r="E53">
            <v>89.98</v>
          </cell>
          <cell r="F53">
            <v>46.86</v>
          </cell>
          <cell r="G53">
            <v>20.46</v>
          </cell>
        </row>
        <row r="54">
          <cell r="A54" t="str">
            <v>12:Q2</v>
          </cell>
          <cell r="B54">
            <v>24.9</v>
          </cell>
          <cell r="C54">
            <v>91.96</v>
          </cell>
          <cell r="D54">
            <v>115.9</v>
          </cell>
          <cell r="E54">
            <v>97.26</v>
          </cell>
          <cell r="F54">
            <v>47.18</v>
          </cell>
          <cell r="G54">
            <v>20.76</v>
          </cell>
        </row>
        <row r="55">
          <cell r="A55" t="str">
            <v>12:Q3</v>
          </cell>
          <cell r="B55">
            <v>24.1</v>
          </cell>
          <cell r="C55">
            <v>81.3</v>
          </cell>
          <cell r="D55">
            <v>101.54</v>
          </cell>
          <cell r="E55">
            <v>84.32</v>
          </cell>
          <cell r="F55">
            <v>43.78</v>
          </cell>
          <cell r="G55">
            <v>18.420000000000002</v>
          </cell>
        </row>
        <row r="56">
          <cell r="A56" t="str">
            <v>12:Q4</v>
          </cell>
          <cell r="B56">
            <v>22.58</v>
          </cell>
          <cell r="C56">
            <v>74.98</v>
          </cell>
          <cell r="D56">
            <v>98.58</v>
          </cell>
          <cell r="E56">
            <v>81.44</v>
          </cell>
          <cell r="F56">
            <v>41.32</v>
          </cell>
          <cell r="G56">
            <v>16.3</v>
          </cell>
        </row>
        <row r="57">
          <cell r="A57" t="str">
            <v>13:Q1</v>
          </cell>
          <cell r="B57">
            <v>19.34</v>
          </cell>
          <cell r="C57">
            <v>67.42</v>
          </cell>
          <cell r="D57">
            <v>88.8</v>
          </cell>
          <cell r="E57">
            <v>75.06</v>
          </cell>
          <cell r="F57">
            <v>40.26</v>
          </cell>
          <cell r="G57">
            <v>17.579999999999998</v>
          </cell>
        </row>
        <row r="58">
          <cell r="A58" t="str">
            <v>13:Q2</v>
          </cell>
          <cell r="B58">
            <v>23.82</v>
          </cell>
          <cell r="C58">
            <v>82.86</v>
          </cell>
          <cell r="D58">
            <v>108.58</v>
          </cell>
          <cell r="E58">
            <v>94.28</v>
          </cell>
          <cell r="F58">
            <v>48.34</v>
          </cell>
          <cell r="G58">
            <v>21.4</v>
          </cell>
        </row>
        <row r="59">
          <cell r="A59" t="str">
            <v>13:Q3</v>
          </cell>
          <cell r="B59">
            <v>23.08</v>
          </cell>
          <cell r="C59">
            <v>74.36</v>
          </cell>
          <cell r="D59">
            <v>102.08</v>
          </cell>
          <cell r="E59">
            <v>87.72</v>
          </cell>
          <cell r="F59">
            <v>46.56</v>
          </cell>
          <cell r="G59">
            <v>20.52</v>
          </cell>
        </row>
        <row r="60">
          <cell r="A60" t="str">
            <v>13:Q4</v>
          </cell>
          <cell r="B60">
            <v>19.72</v>
          </cell>
          <cell r="C60">
            <v>72.540000000000006</v>
          </cell>
          <cell r="D60">
            <v>95.44</v>
          </cell>
          <cell r="E60">
            <v>82.88</v>
          </cell>
          <cell r="F60">
            <v>41.68</v>
          </cell>
          <cell r="G60">
            <v>19.32</v>
          </cell>
        </row>
        <row r="61">
          <cell r="A61" t="str">
            <v>14:Q1</v>
          </cell>
          <cell r="B61">
            <v>15.42</v>
          </cell>
          <cell r="C61">
            <v>54.5</v>
          </cell>
          <cell r="D61">
            <v>74.66</v>
          </cell>
          <cell r="E61">
            <v>67.540000000000006</v>
          </cell>
          <cell r="F61">
            <v>37.04</v>
          </cell>
          <cell r="G61">
            <v>16.32</v>
          </cell>
        </row>
        <row r="62">
          <cell r="A62" t="str">
            <v>14:Q2</v>
          </cell>
          <cell r="B62">
            <v>17.84</v>
          </cell>
          <cell r="C62">
            <v>66.58</v>
          </cell>
          <cell r="D62">
            <v>88.739999999999895</v>
          </cell>
          <cell r="E62">
            <v>76.62</v>
          </cell>
          <cell r="F62">
            <v>39.94</v>
          </cell>
          <cell r="G62">
            <v>17.54</v>
          </cell>
        </row>
        <row r="63">
          <cell r="A63" t="str">
            <v>14:Q3</v>
          </cell>
          <cell r="B63">
            <v>17.48</v>
          </cell>
          <cell r="C63">
            <v>56.56</v>
          </cell>
          <cell r="D63">
            <v>74.48</v>
          </cell>
          <cell r="E63">
            <v>63.14</v>
          </cell>
          <cell r="F63">
            <v>34.979999999999997</v>
          </cell>
          <cell r="G63">
            <v>15.54</v>
          </cell>
        </row>
        <row r="64">
          <cell r="A64" t="str">
            <v>14:Q4</v>
          </cell>
          <cell r="B64">
            <v>18.82</v>
          </cell>
          <cell r="C64">
            <v>56.02</v>
          </cell>
          <cell r="D64">
            <v>76.98</v>
          </cell>
          <cell r="E64">
            <v>64.14</v>
          </cell>
          <cell r="F64">
            <v>35.840000000000003</v>
          </cell>
          <cell r="G64">
            <v>15.3</v>
          </cell>
        </row>
        <row r="65">
          <cell r="A65" t="str">
            <v>15:Q1</v>
          </cell>
          <cell r="B65">
            <v>15.84</v>
          </cell>
          <cell r="C65">
            <v>52.46</v>
          </cell>
          <cell r="D65">
            <v>70.099999999999994</v>
          </cell>
          <cell r="E65">
            <v>63.48</v>
          </cell>
          <cell r="F65">
            <v>35.979999999999997</v>
          </cell>
          <cell r="G65">
            <v>16.7</v>
          </cell>
        </row>
        <row r="66">
          <cell r="A66" t="str">
            <v>15:Q2</v>
          </cell>
          <cell r="B66">
            <v>18.68</v>
          </cell>
          <cell r="C66">
            <v>59.08</v>
          </cell>
          <cell r="D66">
            <v>72.94</v>
          </cell>
          <cell r="E66">
            <v>62.82</v>
          </cell>
          <cell r="F66">
            <v>35.04</v>
          </cell>
          <cell r="G66">
            <v>16.12</v>
          </cell>
        </row>
        <row r="67">
          <cell r="A67" t="str">
            <v>15:Q3</v>
          </cell>
          <cell r="B67">
            <v>17.739999999999998</v>
          </cell>
          <cell r="C67">
            <v>49.44</v>
          </cell>
          <cell r="D67">
            <v>60.52</v>
          </cell>
          <cell r="E67">
            <v>53.82</v>
          </cell>
          <cell r="F67">
            <v>30.06</v>
          </cell>
          <cell r="G67">
            <v>13.68</v>
          </cell>
        </row>
        <row r="68">
          <cell r="A68" t="str">
            <v>15:Q4</v>
          </cell>
          <cell r="B68">
            <v>16.66</v>
          </cell>
          <cell r="C68">
            <v>46.04</v>
          </cell>
          <cell r="D68">
            <v>56.66</v>
          </cell>
          <cell r="E68">
            <v>51.82</v>
          </cell>
          <cell r="F68">
            <v>28.06</v>
          </cell>
          <cell r="G68">
            <v>13.7</v>
          </cell>
        </row>
        <row r="69">
          <cell r="A69" t="str">
            <v>16:Q1</v>
          </cell>
          <cell r="B69">
            <v>15.16</v>
          </cell>
          <cell r="C69">
            <v>45.42</v>
          </cell>
          <cell r="D69">
            <v>54.02</v>
          </cell>
          <cell r="E69">
            <v>50.38</v>
          </cell>
          <cell r="F69">
            <v>28.08</v>
          </cell>
          <cell r="G69">
            <v>13.4</v>
          </cell>
        </row>
        <row r="70">
          <cell r="A70" t="str">
            <v>16:Q2</v>
          </cell>
          <cell r="B70">
            <v>17.68</v>
          </cell>
          <cell r="C70">
            <v>50.44</v>
          </cell>
          <cell r="D70">
            <v>58.4</v>
          </cell>
          <cell r="E70">
            <v>51.5</v>
          </cell>
          <cell r="F70">
            <v>30.74</v>
          </cell>
          <cell r="G70">
            <v>15.32</v>
          </cell>
        </row>
        <row r="71">
          <cell r="A71" t="str">
            <v>16:Q3</v>
          </cell>
          <cell r="B71">
            <v>16.88</v>
          </cell>
          <cell r="C71">
            <v>48.34</v>
          </cell>
          <cell r="D71">
            <v>56.24</v>
          </cell>
          <cell r="E71">
            <v>48.74</v>
          </cell>
          <cell r="F71">
            <v>28.8</v>
          </cell>
          <cell r="G71">
            <v>13.98</v>
          </cell>
        </row>
        <row r="72">
          <cell r="A72" t="str">
            <v>16:Q4</v>
          </cell>
          <cell r="B72">
            <v>16.7</v>
          </cell>
          <cell r="C72">
            <v>44.34</v>
          </cell>
          <cell r="D72">
            <v>53.78</v>
          </cell>
          <cell r="E72">
            <v>48.26</v>
          </cell>
          <cell r="F72">
            <v>27.24</v>
          </cell>
          <cell r="G72">
            <v>13.46</v>
          </cell>
        </row>
        <row r="73">
          <cell r="A73" t="str">
            <v>17:Q1</v>
          </cell>
          <cell r="B73">
            <v>14.5</v>
          </cell>
          <cell r="C73">
            <v>41.14</v>
          </cell>
          <cell r="D73">
            <v>53.64</v>
          </cell>
          <cell r="E73">
            <v>48.88</v>
          </cell>
          <cell r="F73">
            <v>29.96</v>
          </cell>
          <cell r="G73">
            <v>14.92</v>
          </cell>
        </row>
        <row r="74">
          <cell r="A74" t="str">
            <v>17:Q2</v>
          </cell>
          <cell r="B74">
            <v>17.96</v>
          </cell>
          <cell r="C74">
            <v>49.1</v>
          </cell>
          <cell r="D74">
            <v>59.96</v>
          </cell>
          <cell r="E74">
            <v>50.06</v>
          </cell>
          <cell r="F74">
            <v>30.78</v>
          </cell>
          <cell r="G74">
            <v>15.8</v>
          </cell>
        </row>
        <row r="75">
          <cell r="A75" t="str">
            <v>17:Q3</v>
          </cell>
          <cell r="B75">
            <v>16.72</v>
          </cell>
          <cell r="C75">
            <v>43.9</v>
          </cell>
          <cell r="D75">
            <v>54.44</v>
          </cell>
          <cell r="E75">
            <v>49.12</v>
          </cell>
          <cell r="F75">
            <v>28.04</v>
          </cell>
          <cell r="G75">
            <v>15.96</v>
          </cell>
        </row>
        <row r="76">
          <cell r="A76" t="str">
            <v>17:Q4</v>
          </cell>
          <cell r="B76">
            <v>16.739999999999998</v>
          </cell>
          <cell r="C76">
            <v>42.36</v>
          </cell>
          <cell r="D76">
            <v>51.74</v>
          </cell>
          <cell r="E76">
            <v>44.52</v>
          </cell>
          <cell r="F76">
            <v>29.44</v>
          </cell>
          <cell r="G76">
            <v>15.36</v>
          </cell>
        </row>
        <row r="77">
          <cell r="A77" t="str">
            <v>18:Q1</v>
          </cell>
          <cell r="B77">
            <v>14.04</v>
          </cell>
          <cell r="C77">
            <v>39.619999999999997</v>
          </cell>
          <cell r="D77">
            <v>50.26</v>
          </cell>
          <cell r="E77">
            <v>45.08</v>
          </cell>
          <cell r="F77">
            <v>27</v>
          </cell>
          <cell r="G77">
            <v>15.3</v>
          </cell>
        </row>
        <row r="78">
          <cell r="A78" t="str">
            <v>18:Q2</v>
          </cell>
          <cell r="B78">
            <v>17.440000000000001</v>
          </cell>
          <cell r="C78">
            <v>47.06</v>
          </cell>
          <cell r="D78">
            <v>58.82</v>
          </cell>
          <cell r="E78">
            <v>51.58</v>
          </cell>
          <cell r="F78">
            <v>32.119999999999997</v>
          </cell>
          <cell r="G78">
            <v>17.66</v>
          </cell>
        </row>
        <row r="79">
          <cell r="A79" t="str">
            <v>18:Q3</v>
          </cell>
          <cell r="B79">
            <v>16.72</v>
          </cell>
          <cell r="C79">
            <v>45.1</v>
          </cell>
          <cell r="D79">
            <v>54.26</v>
          </cell>
          <cell r="E79">
            <v>49.26</v>
          </cell>
          <cell r="F79">
            <v>31.66</v>
          </cell>
          <cell r="G79">
            <v>17.36</v>
          </cell>
        </row>
        <row r="80">
          <cell r="A80" t="str">
            <v>18:Q4</v>
          </cell>
          <cell r="B80">
            <v>14.9</v>
          </cell>
          <cell r="C80">
            <v>41.74</v>
          </cell>
          <cell r="D80">
            <v>51.24</v>
          </cell>
          <cell r="E80">
            <v>45.78</v>
          </cell>
          <cell r="F80">
            <v>26.62</v>
          </cell>
          <cell r="G80">
            <v>14.78</v>
          </cell>
        </row>
        <row r="81">
          <cell r="A81" t="str">
            <v>19:Q1</v>
          </cell>
          <cell r="B81">
            <v>13.98</v>
          </cell>
          <cell r="C81">
            <v>38.26</v>
          </cell>
          <cell r="D81">
            <v>48.74</v>
          </cell>
          <cell r="E81">
            <v>45.7</v>
          </cell>
          <cell r="F81">
            <v>28.46</v>
          </cell>
          <cell r="G81">
            <v>16.68</v>
          </cell>
        </row>
        <row r="82">
          <cell r="A82" t="str">
            <v>19:Q2</v>
          </cell>
          <cell r="B82">
            <v>18.059999999999999</v>
          </cell>
          <cell r="C82">
            <v>48.74</v>
          </cell>
          <cell r="D82">
            <v>59.26</v>
          </cell>
          <cell r="E82">
            <v>55.22</v>
          </cell>
          <cell r="F82">
            <v>31.54</v>
          </cell>
          <cell r="G82">
            <v>19.04</v>
          </cell>
        </row>
        <row r="83">
          <cell r="A83" t="str">
            <v>19:Q3</v>
          </cell>
          <cell r="B83">
            <v>15.02</v>
          </cell>
          <cell r="C83">
            <v>40.76</v>
          </cell>
          <cell r="D83">
            <v>47.52</v>
          </cell>
          <cell r="E83">
            <v>42.24</v>
          </cell>
          <cell r="F83">
            <v>25.66</v>
          </cell>
          <cell r="G83">
            <v>14.780000000000001</v>
          </cell>
        </row>
        <row r="84">
          <cell r="A84" t="str">
            <v>19:Q4</v>
          </cell>
          <cell r="B84">
            <v>16.440000000000001</v>
          </cell>
          <cell r="C84">
            <v>42.32</v>
          </cell>
          <cell r="D84">
            <v>52.28</v>
          </cell>
          <cell r="E84">
            <v>46.26</v>
          </cell>
          <cell r="F84">
            <v>28.26</v>
          </cell>
          <cell r="G84">
            <v>16.02</v>
          </cell>
        </row>
        <row r="85">
          <cell r="A85" t="str">
            <v>20:Q1</v>
          </cell>
          <cell r="B85">
            <v>13.86</v>
          </cell>
          <cell r="C85">
            <v>38.94</v>
          </cell>
          <cell r="D85">
            <v>48.28</v>
          </cell>
          <cell r="E85">
            <v>43.42</v>
          </cell>
          <cell r="F85">
            <v>27.82</v>
          </cell>
          <cell r="G85">
            <v>16.420000000000002</v>
          </cell>
        </row>
        <row r="86">
          <cell r="A86" t="str">
            <v>20:Q2</v>
          </cell>
          <cell r="B86">
            <v>11.36</v>
          </cell>
          <cell r="C86">
            <v>28.3</v>
          </cell>
          <cell r="D86">
            <v>33.380000000000003</v>
          </cell>
          <cell r="E86">
            <v>30.42</v>
          </cell>
          <cell r="F86">
            <v>19.54</v>
          </cell>
          <cell r="G86">
            <v>12.42</v>
          </cell>
        </row>
        <row r="87">
          <cell r="A87" t="str">
            <v>20:Q3</v>
          </cell>
          <cell r="B87">
            <v>10.86</v>
          </cell>
          <cell r="C87">
            <v>27.52</v>
          </cell>
          <cell r="D87">
            <v>33.1</v>
          </cell>
          <cell r="E87">
            <v>29.62</v>
          </cell>
          <cell r="F87">
            <v>19.02</v>
          </cell>
          <cell r="G87">
            <v>11.58</v>
          </cell>
        </row>
        <row r="88">
          <cell r="A88" t="str">
            <v>20:Q4</v>
          </cell>
          <cell r="B88">
            <v>10.32</v>
          </cell>
          <cell r="C88">
            <v>25.48</v>
          </cell>
          <cell r="D88">
            <v>29.8</v>
          </cell>
          <cell r="E88">
            <v>28.1</v>
          </cell>
          <cell r="F88">
            <v>17.38</v>
          </cell>
          <cell r="G88">
            <v>9.52</v>
          </cell>
        </row>
        <row r="89">
          <cell r="A89" t="str">
            <v>21:Q1</v>
          </cell>
          <cell r="B89">
            <v>8.68</v>
          </cell>
          <cell r="C89">
            <v>22.26</v>
          </cell>
          <cell r="D89">
            <v>27.64</v>
          </cell>
          <cell r="E89">
            <v>26.86</v>
          </cell>
          <cell r="F89">
            <v>16.940000000000001</v>
          </cell>
          <cell r="G89">
            <v>9.58</v>
          </cell>
        </row>
        <row r="90">
          <cell r="A90" t="str">
            <v>21:Q2</v>
          </cell>
          <cell r="B90">
            <v>8.4</v>
          </cell>
          <cell r="C90">
            <v>23.38</v>
          </cell>
          <cell r="D90">
            <v>29.26</v>
          </cell>
          <cell r="E90">
            <v>27.84</v>
          </cell>
          <cell r="F90">
            <v>17.52</v>
          </cell>
          <cell r="G90">
            <v>9.7200000000000006</v>
          </cell>
        </row>
        <row r="91">
          <cell r="A91" t="str">
            <v>21:Q3</v>
          </cell>
          <cell r="B91">
            <v>7.38</v>
          </cell>
          <cell r="C91">
            <v>18.72</v>
          </cell>
          <cell r="D91">
            <v>24.68</v>
          </cell>
          <cell r="E91">
            <v>22.56</v>
          </cell>
          <cell r="F91">
            <v>14.94</v>
          </cell>
          <cell r="G91">
            <v>8.7200000000000006</v>
          </cell>
        </row>
        <row r="92">
          <cell r="A92" t="str">
            <v>21:Q4</v>
          </cell>
          <cell r="B92">
            <v>6.74</v>
          </cell>
          <cell r="C92">
            <v>17.68</v>
          </cell>
          <cell r="D92">
            <v>22.28</v>
          </cell>
          <cell r="E92">
            <v>21.26</v>
          </cell>
          <cell r="F92">
            <v>15.72</v>
          </cell>
          <cell r="G92">
            <v>7.96</v>
          </cell>
        </row>
        <row r="93">
          <cell r="A93" t="str">
            <v>22:Q1</v>
          </cell>
          <cell r="B93">
            <v>5.94</v>
          </cell>
          <cell r="C93">
            <v>17.059999999999999</v>
          </cell>
          <cell r="D93">
            <v>21.98</v>
          </cell>
          <cell r="E93">
            <v>21.7</v>
          </cell>
          <cell r="F93">
            <v>14.5</v>
          </cell>
          <cell r="G93">
            <v>8.3000000000000007</v>
          </cell>
        </row>
        <row r="94">
          <cell r="A94" t="str">
            <v>22:Q2</v>
          </cell>
          <cell r="B94">
            <v>7.5600000000000005</v>
          </cell>
          <cell r="C94">
            <v>18.78</v>
          </cell>
          <cell r="D94">
            <v>22.02</v>
          </cell>
          <cell r="E94">
            <v>21.96</v>
          </cell>
          <cell r="F94">
            <v>14.620000000000001</v>
          </cell>
          <cell r="G94">
            <v>8.4600000000000009</v>
          </cell>
        </row>
        <row r="95">
          <cell r="A95" t="str">
            <v>22:Q3</v>
          </cell>
          <cell r="B95">
            <v>6.84</v>
          </cell>
          <cell r="C95">
            <v>19.2</v>
          </cell>
          <cell r="D95">
            <v>24.62</v>
          </cell>
          <cell r="E95">
            <v>22.38</v>
          </cell>
          <cell r="F95">
            <v>16.18</v>
          </cell>
          <cell r="G95">
            <v>8.18</v>
          </cell>
        </row>
        <row r="96">
          <cell r="A96" t="str">
            <v>22:Q4</v>
          </cell>
          <cell r="B96">
            <v>7.22</v>
          </cell>
          <cell r="C96">
            <v>19.7</v>
          </cell>
          <cell r="D96">
            <v>24.580000000000002</v>
          </cell>
          <cell r="E96">
            <v>22.52</v>
          </cell>
          <cell r="F96">
            <v>14.6</v>
          </cell>
          <cell r="G96">
            <v>8.08</v>
          </cell>
        </row>
        <row r="97">
          <cell r="A97" t="str">
            <v>23:Q1</v>
          </cell>
          <cell r="B97">
            <v>6.82</v>
          </cell>
          <cell r="C97">
            <v>20.34</v>
          </cell>
          <cell r="D97">
            <v>24.060000000000002</v>
          </cell>
          <cell r="E97">
            <v>24.92</v>
          </cell>
          <cell r="F97">
            <v>15.44</v>
          </cell>
          <cell r="G97">
            <v>9.4</v>
          </cell>
        </row>
        <row r="98">
          <cell r="A98" t="str">
            <v>23:Q2</v>
          </cell>
          <cell r="B98">
            <v>8.2200000000000006</v>
          </cell>
          <cell r="C98">
            <v>24.060000000000002</v>
          </cell>
          <cell r="D98">
            <v>28.5</v>
          </cell>
          <cell r="E98">
            <v>26.1</v>
          </cell>
          <cell r="F98">
            <v>15.74</v>
          </cell>
          <cell r="G98">
            <v>9.98</v>
          </cell>
        </row>
        <row r="99">
          <cell r="A99" t="str">
            <v>23:Q3</v>
          </cell>
          <cell r="B99">
            <v>8.5</v>
          </cell>
          <cell r="C99">
            <v>24.02</v>
          </cell>
          <cell r="D99">
            <v>28.54</v>
          </cell>
          <cell r="E99">
            <v>26.86</v>
          </cell>
          <cell r="F99">
            <v>16.34</v>
          </cell>
          <cell r="G99">
            <v>9.5</v>
          </cell>
        </row>
        <row r="100">
          <cell r="A100" t="str">
            <v>23:Q4</v>
          </cell>
          <cell r="B100">
            <v>8.5</v>
          </cell>
          <cell r="C100">
            <v>23.06</v>
          </cell>
          <cell r="D100">
            <v>28.44</v>
          </cell>
          <cell r="E100">
            <v>25.62</v>
          </cell>
          <cell r="F100">
            <v>16.68</v>
          </cell>
          <cell r="G100">
            <v>9.26</v>
          </cell>
        </row>
        <row r="101">
          <cell r="A101" t="str">
            <v>24:Q1</v>
          </cell>
          <cell r="B101">
            <v>7.96</v>
          </cell>
          <cell r="C101">
            <v>24.46</v>
          </cell>
          <cell r="D101">
            <v>30.2</v>
          </cell>
          <cell r="E101">
            <v>28.66</v>
          </cell>
          <cell r="F101">
            <v>18.3</v>
          </cell>
          <cell r="G101">
            <v>9.8800000000000008</v>
          </cell>
        </row>
        <row r="102">
          <cell r="A102" t="str">
            <v>24:Q2</v>
          </cell>
          <cell r="B102">
            <v>9.3000000000000007</v>
          </cell>
          <cell r="C102">
            <v>27.88</v>
          </cell>
          <cell r="D102">
            <v>34.26</v>
          </cell>
          <cell r="E102">
            <v>31</v>
          </cell>
          <cell r="F102">
            <v>18.920000000000002</v>
          </cell>
          <cell r="G102">
            <v>11.42</v>
          </cell>
        </row>
        <row r="103">
          <cell r="A103" t="str">
            <v>24:Q3</v>
          </cell>
          <cell r="B103">
            <v>9.8800000000000008</v>
          </cell>
          <cell r="C103">
            <v>26.76</v>
          </cell>
          <cell r="D103">
            <v>32.56</v>
          </cell>
          <cell r="E103">
            <v>29.36</v>
          </cell>
          <cell r="F103">
            <v>18.899999999999999</v>
          </cell>
          <cell r="G103">
            <v>10.42</v>
          </cell>
        </row>
        <row r="104">
          <cell r="A104" t="str">
            <v>24:Q4</v>
          </cell>
          <cell r="B104">
            <v>9.2799999999999994</v>
          </cell>
          <cell r="C104">
            <v>25.92</v>
          </cell>
          <cell r="D104">
            <v>29.240000000000002</v>
          </cell>
          <cell r="E104">
            <v>29.060000000000002</v>
          </cell>
          <cell r="F104">
            <v>18.38</v>
          </cell>
          <cell r="G104">
            <v>10.6</v>
          </cell>
        </row>
        <row r="105">
          <cell r="A105" t="str">
            <v>25:Q1</v>
          </cell>
          <cell r="B105">
            <v>6.88</v>
          </cell>
          <cell r="C105">
            <v>21.64</v>
          </cell>
          <cell r="D105">
            <v>25.88</v>
          </cell>
          <cell r="E105">
            <v>24.580000000000002</v>
          </cell>
          <cell r="F105">
            <v>16.22</v>
          </cell>
          <cell r="G105">
            <v>9.620000000000001</v>
          </cell>
        </row>
        <row r="106">
          <cell r="A106" t="str">
            <v>25:Q2</v>
          </cell>
          <cell r="B106">
            <v>7.72</v>
          </cell>
          <cell r="C106">
            <v>27.7</v>
          </cell>
          <cell r="D106">
            <v>34.44</v>
          </cell>
          <cell r="E106">
            <v>30.560000000000002</v>
          </cell>
          <cell r="F106">
            <v>19.52</v>
          </cell>
          <cell r="G106">
            <v>11.16</v>
          </cell>
        </row>
        <row r="107">
          <cell r="A107" t="str">
            <v>25:Q3</v>
          </cell>
          <cell r="B107">
            <v>9.9</v>
          </cell>
          <cell r="C107">
            <v>30.26</v>
          </cell>
          <cell r="D107">
            <v>34.76</v>
          </cell>
          <cell r="E107">
            <v>32.26</v>
          </cell>
          <cell r="F107">
            <v>22.04</v>
          </cell>
          <cell r="G107">
            <v>12.120000000000001</v>
          </cell>
        </row>
        <row r="108">
          <cell r="A108" t="str">
            <v>25:Q4</v>
          </cell>
          <cell r="B108">
            <v>8.86</v>
          </cell>
          <cell r="C108">
            <v>26.560000000000002</v>
          </cell>
          <cell r="D108">
            <v>32.299999999999997</v>
          </cell>
          <cell r="E108">
            <v>28.16</v>
          </cell>
          <cell r="F108">
            <v>17.440000000000001</v>
          </cell>
          <cell r="G108">
            <v>10.34</v>
          </cell>
        </row>
        <row r="109">
          <cell r="A109" t="str">
            <v>26:Q1</v>
          </cell>
          <cell r="B109">
            <v>7.92</v>
          </cell>
          <cell r="C109">
            <v>25.400000000000002</v>
          </cell>
          <cell r="D109">
            <v>32.200000000000003</v>
          </cell>
          <cell r="E109">
            <v>28.560000000000002</v>
          </cell>
          <cell r="F109">
            <v>18.740000000000002</v>
          </cell>
          <cell r="G109">
            <v>10.92</v>
          </cell>
        </row>
      </sheetData>
      <sheetData sheetId="54" refreshError="1"/>
      <sheetData sheetId="55">
        <row r="3">
          <cell r="B3" t="str">
            <v>03:Q1</v>
          </cell>
        </row>
        <row r="4">
          <cell r="B4">
            <v>32.209917466410751</v>
          </cell>
        </row>
        <row r="5">
          <cell r="B5">
            <v>43.288241415192509</v>
          </cell>
        </row>
        <row r="6">
          <cell r="B6">
            <v>27.810880829015542</v>
          </cell>
        </row>
        <row r="7">
          <cell r="B7">
            <v>32.217615532409752</v>
          </cell>
        </row>
        <row r="8">
          <cell r="B8">
            <v>30.544586570195484</v>
          </cell>
        </row>
        <row r="9">
          <cell r="B9">
            <v>35.664896581691771</v>
          </cell>
        </row>
        <row r="10">
          <cell r="B10">
            <v>38.015996294335629</v>
          </cell>
        </row>
        <row r="11">
          <cell r="B11">
            <v>28.133360773821771</v>
          </cell>
        </row>
        <row r="12">
          <cell r="B12">
            <v>27.99472563140278</v>
          </cell>
        </row>
        <row r="13">
          <cell r="B13">
            <v>24.553571428571427</v>
          </cell>
        </row>
        <row r="14">
          <cell r="B14">
            <v>24.419922457500746</v>
          </cell>
        </row>
        <row r="15">
          <cell r="B15">
            <v>30.597150703015583</v>
          </cell>
        </row>
      </sheetData>
      <sheetData sheetId="56" refreshError="1"/>
      <sheetData sheetId="57">
        <row r="1">
          <cell r="A1" t="str">
            <v xml:space="preserve">Composition of Debt Balance per Capita* by State (2026 Q1) </v>
          </cell>
        </row>
        <row r="2">
          <cell r="A2" t="str">
            <v>Thousands of $</v>
          </cell>
        </row>
        <row r="3">
          <cell r="B3" t="str">
            <v>Mortgage</v>
          </cell>
          <cell r="C3" t="str">
            <v>HE Revolving</v>
          </cell>
          <cell r="D3" t="str">
            <v>Auto Loan</v>
          </cell>
          <cell r="E3" t="str">
            <v>Credit Card</v>
          </cell>
          <cell r="F3" t="str">
            <v>Student Loan</v>
          </cell>
          <cell r="G3" t="str">
            <v>Other</v>
          </cell>
        </row>
        <row r="4">
          <cell r="A4" t="str">
            <v>AZ</v>
          </cell>
          <cell r="B4">
            <v>53.99</v>
          </cell>
          <cell r="C4">
            <v>1.52</v>
          </cell>
          <cell r="D4">
            <v>6.1</v>
          </cell>
          <cell r="E4">
            <v>4.57</v>
          </cell>
          <cell r="F4">
            <v>4.9400000000000004</v>
          </cell>
          <cell r="G4">
            <v>1.95</v>
          </cell>
        </row>
        <row r="5">
          <cell r="A5" t="str">
            <v>CA</v>
          </cell>
          <cell r="B5">
            <v>69.41</v>
          </cell>
          <cell r="C5">
            <v>1.67</v>
          </cell>
          <cell r="D5">
            <v>5.29</v>
          </cell>
          <cell r="E5">
            <v>5.12</v>
          </cell>
          <cell r="F5">
            <v>4.66</v>
          </cell>
          <cell r="G5">
            <v>1.57</v>
          </cell>
        </row>
        <row r="6">
          <cell r="A6" t="str">
            <v>FL</v>
          </cell>
          <cell r="B6">
            <v>42.44</v>
          </cell>
          <cell r="C6">
            <v>1.49</v>
          </cell>
          <cell r="D6">
            <v>6.6</v>
          </cell>
          <cell r="E6">
            <v>4.87</v>
          </cell>
          <cell r="F6">
            <v>5.01</v>
          </cell>
          <cell r="G6">
            <v>2.1</v>
          </cell>
        </row>
        <row r="7">
          <cell r="A7" t="str">
            <v>IL</v>
          </cell>
          <cell r="B7">
            <v>37.72</v>
          </cell>
          <cell r="C7">
            <v>1.07</v>
          </cell>
          <cell r="D7">
            <v>4.93</v>
          </cell>
          <cell r="E7">
            <v>4.18</v>
          </cell>
          <cell r="F7">
            <v>5.81</v>
          </cell>
          <cell r="G7">
            <v>1.44</v>
          </cell>
        </row>
        <row r="8">
          <cell r="A8" t="str">
            <v>MI</v>
          </cell>
          <cell r="B8">
            <v>30.9</v>
          </cell>
          <cell r="C8">
            <v>1.36</v>
          </cell>
          <cell r="D8">
            <v>4.8499999999999996</v>
          </cell>
          <cell r="E8">
            <v>3.55</v>
          </cell>
          <cell r="F8">
            <v>5.78</v>
          </cell>
          <cell r="G8">
            <v>1.57</v>
          </cell>
        </row>
        <row r="9">
          <cell r="A9" t="str">
            <v>NJ</v>
          </cell>
          <cell r="B9">
            <v>48.62</v>
          </cell>
          <cell r="C9">
            <v>1.72</v>
          </cell>
          <cell r="D9">
            <v>4.97</v>
          </cell>
          <cell r="E9">
            <v>4.6900000000000004</v>
          </cell>
          <cell r="F9">
            <v>6.61</v>
          </cell>
          <cell r="G9">
            <v>1.48</v>
          </cell>
        </row>
        <row r="10">
          <cell r="A10" t="str">
            <v>NV</v>
          </cell>
          <cell r="B10">
            <v>52.31</v>
          </cell>
          <cell r="C10">
            <v>0.9</v>
          </cell>
          <cell r="D10">
            <v>6.3</v>
          </cell>
          <cell r="E10">
            <v>4.84</v>
          </cell>
          <cell r="F10">
            <v>4.49</v>
          </cell>
          <cell r="G10">
            <v>2.2400000000000002</v>
          </cell>
        </row>
        <row r="11">
          <cell r="A11" t="str">
            <v>NY</v>
          </cell>
          <cell r="B11">
            <v>40.369999999999997</v>
          </cell>
          <cell r="C11">
            <v>1.56</v>
          </cell>
          <cell r="D11">
            <v>4.21</v>
          </cell>
          <cell r="E11">
            <v>4.71</v>
          </cell>
          <cell r="F11">
            <v>6.04</v>
          </cell>
          <cell r="G11">
            <v>1.42</v>
          </cell>
        </row>
        <row r="12">
          <cell r="A12" t="str">
            <v>OH</v>
          </cell>
          <cell r="B12">
            <v>28.42</v>
          </cell>
          <cell r="C12">
            <v>1.76</v>
          </cell>
          <cell r="D12">
            <v>5.23</v>
          </cell>
          <cell r="E12">
            <v>3.46</v>
          </cell>
          <cell r="F12">
            <v>5.77</v>
          </cell>
          <cell r="G12">
            <v>1.55</v>
          </cell>
        </row>
        <row r="13">
          <cell r="A13" t="str">
            <v>PA</v>
          </cell>
          <cell r="B13">
            <v>31.22</v>
          </cell>
          <cell r="C13">
            <v>2.06</v>
          </cell>
          <cell r="D13">
            <v>5.05</v>
          </cell>
          <cell r="E13">
            <v>3.81</v>
          </cell>
          <cell r="F13">
            <v>6.49</v>
          </cell>
          <cell r="G13">
            <v>1.77</v>
          </cell>
        </row>
        <row r="14">
          <cell r="A14" t="str">
            <v>TX</v>
          </cell>
          <cell r="B14">
            <v>39.97</v>
          </cell>
          <cell r="C14">
            <v>0.4</v>
          </cell>
          <cell r="D14">
            <v>8.3000000000000007</v>
          </cell>
          <cell r="E14">
            <v>4.45</v>
          </cell>
          <cell r="F14">
            <v>5.17</v>
          </cell>
          <cell r="G14">
            <v>2.42</v>
          </cell>
        </row>
        <row r="15">
          <cell r="A15" t="str">
            <v>US</v>
          </cell>
          <cell r="B15">
            <v>44.74</v>
          </cell>
          <cell r="C15">
            <v>1.51</v>
          </cell>
          <cell r="D15">
            <v>5.72</v>
          </cell>
          <cell r="E15">
            <v>4.25</v>
          </cell>
          <cell r="F15">
            <v>5.42</v>
          </cell>
          <cell r="G15">
            <v>1.91</v>
          </cell>
        </row>
        <row r="16">
          <cell r="A16" t="str">
            <v>* Based on the population with a credit report</v>
          </cell>
        </row>
        <row r="17">
          <cell r="A17" t="str">
            <v>Return to Table of Contents</v>
          </cell>
        </row>
        <row r="18">
          <cell r="A18" t="str">
            <v>Source: New York Fed Consumer Credit Panel/Equifax</v>
          </cell>
        </row>
      </sheetData>
      <sheetData sheetId="58" refreshError="1"/>
      <sheetData sheetId="59">
        <row r="1">
          <cell r="A1" t="str">
            <v xml:space="preserve">Delinquency Status of Debt Balance per Capita* by State (2026 Q1) </v>
          </cell>
        </row>
        <row r="2">
          <cell r="A2" t="str">
            <v>Thousands of $</v>
          </cell>
        </row>
        <row r="3">
          <cell r="B3" t="str">
            <v>current</v>
          </cell>
          <cell r="C3" t="str">
            <v>30 days late</v>
          </cell>
          <cell r="D3" t="str">
            <v>60 days late</v>
          </cell>
          <cell r="E3" t="str">
            <v>90 days late</v>
          </cell>
          <cell r="F3" t="str">
            <v>120+ days late</v>
          </cell>
          <cell r="G3" t="str">
            <v>derogatory</v>
          </cell>
        </row>
        <row r="4">
          <cell r="A4" t="str">
            <v>AZ</v>
          </cell>
          <cell r="B4">
            <v>69.700999999999993</v>
          </cell>
          <cell r="C4">
            <v>0.42699999999999999</v>
          </cell>
          <cell r="D4">
            <v>0.34899999999999998</v>
          </cell>
          <cell r="E4">
            <v>0.23799999999999999</v>
          </cell>
          <cell r="F4">
            <v>0.93200000000000005</v>
          </cell>
          <cell r="G4">
            <v>1.3160000000000001</v>
          </cell>
        </row>
        <row r="5">
          <cell r="A5" t="str">
            <v>CA</v>
          </cell>
          <cell r="B5">
            <v>84.756</v>
          </cell>
          <cell r="C5">
            <v>0.69199999999999995</v>
          </cell>
          <cell r="D5">
            <v>0.22800000000000001</v>
          </cell>
          <cell r="E5">
            <v>0.182</v>
          </cell>
          <cell r="F5">
            <v>0.65</v>
          </cell>
          <cell r="G5">
            <v>1.0289999999999999</v>
          </cell>
        </row>
        <row r="6">
          <cell r="A6" t="str">
            <v>FL</v>
          </cell>
          <cell r="B6">
            <v>58.829000000000001</v>
          </cell>
          <cell r="C6">
            <v>0.88800000000000001</v>
          </cell>
          <cell r="D6">
            <v>0.26200000000000001</v>
          </cell>
          <cell r="E6">
            <v>0.182</v>
          </cell>
          <cell r="F6">
            <v>0.754</v>
          </cell>
          <cell r="G6">
            <v>1.4930000000000001</v>
          </cell>
        </row>
        <row r="7">
          <cell r="A7" t="str">
            <v>IL</v>
          </cell>
          <cell r="B7">
            <v>52.527000000000001</v>
          </cell>
          <cell r="C7">
            <v>0.45</v>
          </cell>
          <cell r="D7">
            <v>0.193</v>
          </cell>
          <cell r="E7">
            <v>0.19600000000000001</v>
          </cell>
          <cell r="F7">
            <v>0.69299999999999995</v>
          </cell>
          <cell r="G7">
            <v>0.98399999999999999</v>
          </cell>
        </row>
        <row r="8">
          <cell r="A8" t="str">
            <v>MI</v>
          </cell>
          <cell r="B8">
            <v>45.706000000000003</v>
          </cell>
          <cell r="C8">
            <v>0.38200000000000001</v>
          </cell>
          <cell r="D8">
            <v>0.23</v>
          </cell>
          <cell r="E8">
            <v>0.219</v>
          </cell>
          <cell r="F8">
            <v>0.67900000000000005</v>
          </cell>
          <cell r="G8">
            <v>0.73099999999999998</v>
          </cell>
        </row>
        <row r="9">
          <cell r="A9" t="str">
            <v>NJ</v>
          </cell>
          <cell r="B9">
            <v>65.025000000000006</v>
          </cell>
          <cell r="C9">
            <v>0.65400000000000003</v>
          </cell>
          <cell r="D9">
            <v>0.38100000000000001</v>
          </cell>
          <cell r="E9">
            <v>0.18</v>
          </cell>
          <cell r="F9">
            <v>0.81799999999999995</v>
          </cell>
          <cell r="G9">
            <v>0.95699999999999996</v>
          </cell>
        </row>
        <row r="10">
          <cell r="A10" t="str">
            <v>NV</v>
          </cell>
          <cell r="B10">
            <v>67.602000000000004</v>
          </cell>
          <cell r="C10">
            <v>0.69499999999999995</v>
          </cell>
          <cell r="D10">
            <v>0.314</v>
          </cell>
          <cell r="E10">
            <v>0.192</v>
          </cell>
          <cell r="F10">
            <v>0.85399999999999998</v>
          </cell>
          <cell r="G10">
            <v>1.3280000000000001</v>
          </cell>
        </row>
        <row r="11">
          <cell r="A11" t="str">
            <v>NY</v>
          </cell>
          <cell r="B11">
            <v>55.395000000000003</v>
          </cell>
          <cell r="C11">
            <v>0.47699999999999998</v>
          </cell>
          <cell r="D11">
            <v>0.19800000000000001</v>
          </cell>
          <cell r="E11">
            <v>0.17</v>
          </cell>
          <cell r="F11">
            <v>0.86599999999999999</v>
          </cell>
          <cell r="G11">
            <v>1.1519999999999999</v>
          </cell>
        </row>
        <row r="12">
          <cell r="A12" t="str">
            <v>OH</v>
          </cell>
          <cell r="B12">
            <v>44.023000000000003</v>
          </cell>
          <cell r="C12">
            <v>0.35699999999999998</v>
          </cell>
          <cell r="D12">
            <v>0.188</v>
          </cell>
          <cell r="E12">
            <v>0.214</v>
          </cell>
          <cell r="F12">
            <v>0.61799999999999999</v>
          </cell>
          <cell r="G12">
            <v>0.72399999999999998</v>
          </cell>
        </row>
        <row r="13">
          <cell r="A13" t="str">
            <v>PA</v>
          </cell>
          <cell r="B13">
            <v>47.764000000000003</v>
          </cell>
          <cell r="C13">
            <v>0.57599999999999996</v>
          </cell>
          <cell r="D13">
            <v>0.217</v>
          </cell>
          <cell r="E13">
            <v>0.127</v>
          </cell>
          <cell r="F13">
            <v>0.69499999999999995</v>
          </cell>
          <cell r="G13">
            <v>0.97799999999999998</v>
          </cell>
        </row>
        <row r="14">
          <cell r="A14" t="str">
            <v>TX</v>
          </cell>
          <cell r="B14">
            <v>57.006999999999998</v>
          </cell>
          <cell r="C14">
            <v>0.77400000000000002</v>
          </cell>
          <cell r="D14">
            <v>0.34300000000000003</v>
          </cell>
          <cell r="E14">
            <v>0.29899999999999999</v>
          </cell>
          <cell r="F14">
            <v>0.83299999999999996</v>
          </cell>
          <cell r="G14">
            <v>1.411</v>
          </cell>
        </row>
        <row r="15">
          <cell r="A15" t="str">
            <v>US</v>
          </cell>
          <cell r="B15">
            <v>60.642000000000003</v>
          </cell>
          <cell r="C15">
            <v>0.64300000000000002</v>
          </cell>
          <cell r="D15">
            <v>0.24399999999999999</v>
          </cell>
          <cell r="E15">
            <v>0.19700000000000001</v>
          </cell>
          <cell r="F15">
            <v>0.71699999999999997</v>
          </cell>
          <cell r="G15">
            <v>1.012</v>
          </cell>
        </row>
        <row r="16">
          <cell r="A16" t="str">
            <v>* Based on the population with a credit report</v>
          </cell>
        </row>
        <row r="17">
          <cell r="A17" t="str">
            <v>Return to Table of Contents</v>
          </cell>
        </row>
        <row r="18">
          <cell r="A18" t="str">
            <v>Source: New York Fed Consumer Credit Panel/Equifax</v>
          </cell>
        </row>
      </sheetData>
      <sheetData sheetId="60" refreshError="1"/>
      <sheetData sheetId="61">
        <row r="3">
          <cell r="B3" t="str">
            <v>03:Q1</v>
          </cell>
        </row>
        <row r="4">
          <cell r="B4">
            <v>2.9275832386002882</v>
          </cell>
        </row>
        <row r="5">
          <cell r="B5">
            <v>1.60034424734748</v>
          </cell>
        </row>
        <row r="6">
          <cell r="B6">
            <v>3.2989455286446203</v>
          </cell>
        </row>
        <row r="7">
          <cell r="B7">
            <v>2.3109369742623982</v>
          </cell>
        </row>
        <row r="8">
          <cell r="B8">
            <v>2.5698149849844523</v>
          </cell>
        </row>
        <row r="9">
          <cell r="B9">
            <v>2.6034931114895516</v>
          </cell>
        </row>
        <row r="10">
          <cell r="B10">
            <v>2.7950421026550396</v>
          </cell>
        </row>
        <row r="11">
          <cell r="B11">
            <v>3.2856691050963178</v>
          </cell>
        </row>
        <row r="12">
          <cell r="B12">
            <v>2.6907555434782608</v>
          </cell>
        </row>
        <row r="13">
          <cell r="B13">
            <v>2.812288202020202</v>
          </cell>
        </row>
        <row r="14">
          <cell r="B14">
            <v>3.9499721543722521</v>
          </cell>
        </row>
        <row r="15">
          <cell r="B15">
            <v>2.4905618630121831</v>
          </cell>
        </row>
      </sheetData>
      <sheetData sheetId="62" refreshError="1"/>
      <sheetData sheetId="63">
        <row r="3">
          <cell r="B3" t="str">
            <v>03:Q1</v>
          </cell>
        </row>
        <row r="4">
          <cell r="B4">
            <v>1.6349647054763636</v>
          </cell>
        </row>
        <row r="5">
          <cell r="B5">
            <v>0.59472183736544815</v>
          </cell>
        </row>
        <row r="6">
          <cell r="B6">
            <v>1.3065896076352068</v>
          </cell>
        </row>
        <row r="7">
          <cell r="B7">
            <v>1.2881748359882019</v>
          </cell>
        </row>
        <row r="8">
          <cell r="B8">
            <v>1.5066229273861138</v>
          </cell>
        </row>
        <row r="9">
          <cell r="B9">
            <v>1.7800445009686967</v>
          </cell>
        </row>
        <row r="10">
          <cell r="B10">
            <v>1.2994752383705648</v>
          </cell>
        </row>
        <row r="11">
          <cell r="B11">
            <v>1.6497721706864563</v>
          </cell>
        </row>
        <row r="12">
          <cell r="B12">
            <v>1.529880395810445</v>
          </cell>
        </row>
        <row r="13">
          <cell r="B13">
            <v>1.415040233614536</v>
          </cell>
        </row>
        <row r="14">
          <cell r="B14">
            <v>1.7237831374138628</v>
          </cell>
        </row>
        <row r="15">
          <cell r="B15">
            <v>1.2085820922703359</v>
          </cell>
        </row>
      </sheetData>
      <sheetData sheetId="64" refreshError="1"/>
      <sheetData sheetId="65">
        <row r="4">
          <cell r="B4" t="str">
            <v>03:Q1</v>
          </cell>
        </row>
        <row r="5">
          <cell r="B5">
            <v>8.0064772997570586</v>
          </cell>
        </row>
        <row r="6">
          <cell r="B6">
            <v>4.6558067077784608</v>
          </cell>
        </row>
        <row r="7">
          <cell r="B7">
            <v>7.2778988439985648</v>
          </cell>
        </row>
        <row r="8">
          <cell r="B8">
            <v>6.1455166788758193</v>
          </cell>
        </row>
        <row r="9">
          <cell r="B9">
            <v>7.564232285361042</v>
          </cell>
        </row>
        <row r="10">
          <cell r="B10">
            <v>7.0569397516746974</v>
          </cell>
        </row>
        <row r="11">
          <cell r="B11">
            <v>8.1290236977558283</v>
          </cell>
        </row>
        <row r="12">
          <cell r="B12">
            <v>7.2641583243656198</v>
          </cell>
        </row>
        <row r="13">
          <cell r="B13">
            <v>6.6349875129874851</v>
          </cell>
        </row>
        <row r="14">
          <cell r="B14">
            <v>6.6147527151527665</v>
          </cell>
        </row>
        <row r="15">
          <cell r="B15">
            <v>8.8994301449992008</v>
          </cell>
        </row>
        <row r="16">
          <cell r="B16">
            <v>6.6357814030534428</v>
          </cell>
        </row>
      </sheetData>
      <sheetData sheetId="66" refreshError="1"/>
      <sheetData sheetId="67">
        <row r="3">
          <cell r="B3" t="str">
            <v>03:Q1</v>
          </cell>
        </row>
        <row r="4">
          <cell r="B4">
            <v>2.9493381802192875</v>
          </cell>
        </row>
        <row r="5">
          <cell r="B5">
            <v>1.8722918836029099</v>
          </cell>
        </row>
        <row r="6">
          <cell r="B6">
            <v>2.8161237415608142</v>
          </cell>
        </row>
        <row r="7">
          <cell r="B7">
            <v>2.0504439993065535</v>
          </cell>
        </row>
        <row r="8">
          <cell r="B8">
            <v>3.0786231044298402</v>
          </cell>
        </row>
        <row r="9">
          <cell r="B9">
            <v>2.8022766939294517</v>
          </cell>
        </row>
        <row r="10">
          <cell r="B10">
            <v>3.0007698074591409</v>
          </cell>
        </row>
        <row r="11">
          <cell r="B11">
            <v>2.9468146497536769</v>
          </cell>
        </row>
        <row r="12">
          <cell r="B12">
            <v>2.4465512712594832</v>
          </cell>
        </row>
        <row r="13">
          <cell r="B13">
            <v>2.730137069484404</v>
          </cell>
        </row>
        <row r="14">
          <cell r="B14">
            <v>3.3960775496808275</v>
          </cell>
        </row>
        <row r="15">
          <cell r="B15">
            <v>2.5363225466351067</v>
          </cell>
        </row>
      </sheetData>
      <sheetData sheetId="68" refreshError="1"/>
      <sheetData sheetId="69">
        <row r="4">
          <cell r="B4" t="str">
            <v>03:Q1</v>
          </cell>
        </row>
        <row r="5">
          <cell r="B5">
            <v>0.12</v>
          </cell>
        </row>
        <row r="6">
          <cell r="B6">
            <v>0.06</v>
          </cell>
        </row>
        <row r="7">
          <cell r="B7">
            <v>0.1</v>
          </cell>
        </row>
        <row r="8">
          <cell r="B8">
            <v>0.09</v>
          </cell>
        </row>
        <row r="9">
          <cell r="B9">
            <v>0.11</v>
          </cell>
        </row>
        <row r="10">
          <cell r="B10">
            <v>7.0000000000000007E-2</v>
          </cell>
        </row>
        <row r="11">
          <cell r="B11">
            <v>0.15</v>
          </cell>
        </row>
        <row r="12">
          <cell r="B12">
            <v>0.06</v>
          </cell>
        </row>
        <row r="13">
          <cell r="B13">
            <v>0.1</v>
          </cell>
        </row>
        <row r="14">
          <cell r="B14">
            <v>0.08</v>
          </cell>
        </row>
        <row r="15">
          <cell r="B15">
            <v>0.1</v>
          </cell>
        </row>
        <row r="16">
          <cell r="B16">
            <v>0.08</v>
          </cell>
        </row>
      </sheetData>
      <sheetData sheetId="70" refreshError="1"/>
      <sheetData sheetId="71">
        <row r="4">
          <cell r="B4" t="str">
            <v>03:Q1</v>
          </cell>
        </row>
        <row r="5">
          <cell r="B5">
            <v>0.28999999999999998</v>
          </cell>
        </row>
        <row r="6">
          <cell r="B6">
            <v>0.22</v>
          </cell>
        </row>
        <row r="7">
          <cell r="B7">
            <v>0.21</v>
          </cell>
        </row>
        <row r="8">
          <cell r="B8">
            <v>0.3</v>
          </cell>
        </row>
        <row r="9">
          <cell r="B9">
            <v>0.28000000000000003</v>
          </cell>
        </row>
        <row r="10">
          <cell r="B10">
            <v>0.19</v>
          </cell>
        </row>
        <row r="11">
          <cell r="B11">
            <v>0.41</v>
          </cell>
        </row>
        <row r="12">
          <cell r="B12">
            <v>0.17</v>
          </cell>
        </row>
        <row r="13">
          <cell r="B13">
            <v>0.33</v>
          </cell>
        </row>
        <row r="14">
          <cell r="B14">
            <v>0.21</v>
          </cell>
        </row>
        <row r="15">
          <cell r="B15">
            <v>0.2</v>
          </cell>
        </row>
        <row r="16">
          <cell r="B16">
            <v>0.25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 OF CONTENTS"/>
      <sheetName val="Chart3"/>
      <sheetName val="Page 3 Data"/>
      <sheetName val="Chart4"/>
      <sheetName val="Page 4 Data"/>
      <sheetName val="Chart5"/>
      <sheetName val="Page 5 Data"/>
      <sheetName val="Chart6"/>
      <sheetName val="Page 6 Data"/>
      <sheetName val="Chart7"/>
      <sheetName val="Page 7 Data"/>
      <sheetName val="Chart8"/>
      <sheetName val="Page 8 Data"/>
      <sheetName val="Chart9"/>
      <sheetName val="Page 9 Data"/>
      <sheetName val="Chart10"/>
      <sheetName val="Page 10 Data"/>
      <sheetName val="Chart11"/>
      <sheetName val="Page 11 Data"/>
      <sheetName val="Chart12"/>
      <sheetName val="Page 12 Data"/>
      <sheetName val="Chart13"/>
      <sheetName val="Page 13 Data"/>
      <sheetName val="Chart14"/>
      <sheetName val="Page 14 Data"/>
      <sheetName val="Chart15"/>
      <sheetName val="Page 15 Data"/>
      <sheetName val="Chart16"/>
      <sheetName val="Page 16 Data"/>
      <sheetName val="Chart17"/>
      <sheetName val="Page 17 Data"/>
      <sheetName val="Chart18"/>
      <sheetName val="Page 18 Data"/>
      <sheetName val="Chart20"/>
      <sheetName val="Page 20 Data"/>
      <sheetName val="Chart21"/>
      <sheetName val="Page 21 Data"/>
      <sheetName val="Chart22"/>
      <sheetName val="Page 22 Data"/>
      <sheetName val="Chart23"/>
      <sheetName val="Page 23 Data"/>
      <sheetName val="Chart24"/>
      <sheetName val="Page 24 Data"/>
      <sheetName val="Chart25"/>
      <sheetName val="Page 25 Data"/>
      <sheetName val="Chart26"/>
      <sheetName val="Page 26 Data"/>
      <sheetName val="Chart27"/>
      <sheetName val="Page 27 Data"/>
      <sheetName val="Chart28"/>
      <sheetName val="Page 28 Data"/>
      <sheetName val="Chart29"/>
      <sheetName val="Page 29 Data"/>
      <sheetName val="Chart30"/>
      <sheetName val="Page 30 Data"/>
      <sheetName val="Chart32"/>
      <sheetName val="Page 32 Data"/>
      <sheetName val="Chart33"/>
      <sheetName val="Page 33 Data"/>
      <sheetName val="Chart34"/>
      <sheetName val="Page 34 Data"/>
      <sheetName val="Chart35"/>
      <sheetName val="Page 35 Data"/>
      <sheetName val="Chart36"/>
      <sheetName val="Page 36 Data"/>
      <sheetName val="Chart37"/>
      <sheetName val="Page 37 Data"/>
      <sheetName val="Chart38"/>
      <sheetName val="Page 38 Data"/>
      <sheetName val="Chart39"/>
      <sheetName val="Page 39 Data"/>
      <sheetName val="Chart40"/>
      <sheetName val="Page 40 Data"/>
    </sheetNames>
    <sheetDataSet>
      <sheetData sheetId="0" refreshError="1"/>
      <sheetData sheetId="1" refreshError="1"/>
      <sheetData sheetId="2">
        <row r="1">
          <cell r="A1" t="str">
            <v>Total Debt Balance and Its Composition</v>
          </cell>
        </row>
        <row r="2">
          <cell r="A2" t="str">
            <v>Trillions of $</v>
          </cell>
        </row>
        <row r="3">
          <cell r="A3" t="str">
            <v>Return to Table of Contents</v>
          </cell>
        </row>
        <row r="4">
          <cell r="B4" t="str">
            <v>Mortgage</v>
          </cell>
          <cell r="C4" t="str">
            <v>HE Revolving</v>
          </cell>
          <cell r="D4" t="str">
            <v>Auto Loan</v>
          </cell>
          <cell r="E4" t="str">
            <v>Credit Card</v>
          </cell>
          <cell r="F4" t="str">
            <v>Student Loan</v>
          </cell>
          <cell r="G4" t="str">
            <v>Other</v>
          </cell>
          <cell r="H4" t="str">
            <v>Total</v>
          </cell>
        </row>
        <row r="5">
          <cell r="A5" t="str">
            <v>03:Q1</v>
          </cell>
          <cell r="B5">
            <v>4.9420000000000002</v>
          </cell>
          <cell r="C5">
            <v>0.24199999999999999</v>
          </cell>
          <cell r="D5">
            <v>0.64100000000000001</v>
          </cell>
          <cell r="E5">
            <v>0.68799999999999994</v>
          </cell>
          <cell r="F5">
            <v>0.2407</v>
          </cell>
          <cell r="G5">
            <v>0.47760000000000002</v>
          </cell>
          <cell r="H5">
            <v>7.2313000000000001</v>
          </cell>
        </row>
        <row r="6">
          <cell r="A6" t="str">
            <v>03:Q2</v>
          </cell>
          <cell r="B6">
            <v>5.08</v>
          </cell>
          <cell r="C6">
            <v>0.26</v>
          </cell>
          <cell r="D6">
            <v>0.622</v>
          </cell>
          <cell r="E6">
            <v>0.69299999999999995</v>
          </cell>
          <cell r="F6">
            <v>0.2429</v>
          </cell>
          <cell r="G6">
            <v>0.48599999999999999</v>
          </cell>
          <cell r="H6">
            <v>7.3838999999999988</v>
          </cell>
        </row>
        <row r="7">
          <cell r="A7" t="str">
            <v>03:Q3</v>
          </cell>
          <cell r="B7">
            <v>5.1829999999999998</v>
          </cell>
          <cell r="C7">
            <v>0.26900000000000002</v>
          </cell>
          <cell r="D7">
            <v>0.68400000000000005</v>
          </cell>
          <cell r="E7">
            <v>0.69299999999999995</v>
          </cell>
          <cell r="F7">
            <v>0.24879999999999999</v>
          </cell>
          <cell r="G7">
            <v>0.4773</v>
          </cell>
          <cell r="H7">
            <v>7.5550999999999995</v>
          </cell>
        </row>
        <row r="8">
          <cell r="A8" t="str">
            <v>03:Q4</v>
          </cell>
          <cell r="B8">
            <v>5.66</v>
          </cell>
          <cell r="C8">
            <v>0.30199999999999999</v>
          </cell>
          <cell r="D8">
            <v>0.70399999999999996</v>
          </cell>
          <cell r="E8">
            <v>0.69799999999999995</v>
          </cell>
          <cell r="F8">
            <v>0.25290000000000001</v>
          </cell>
          <cell r="G8">
            <v>0.4486</v>
          </cell>
          <cell r="H8">
            <v>8.0655000000000001</v>
          </cell>
        </row>
        <row r="9">
          <cell r="A9" t="str">
            <v>04:Q1</v>
          </cell>
          <cell r="B9">
            <v>5.84</v>
          </cell>
          <cell r="C9">
            <v>0.32800000000000001</v>
          </cell>
          <cell r="D9">
            <v>0.72</v>
          </cell>
          <cell r="E9">
            <v>0.69499999999999995</v>
          </cell>
          <cell r="F9">
            <v>0.25979999999999998</v>
          </cell>
          <cell r="G9">
            <v>0.44650000000000001</v>
          </cell>
          <cell r="H9">
            <v>8.2893000000000008</v>
          </cell>
        </row>
        <row r="10">
          <cell r="A10" t="str">
            <v>04:Q2</v>
          </cell>
          <cell r="B10">
            <v>5.9669999999999996</v>
          </cell>
          <cell r="C10">
            <v>0.36699999999999999</v>
          </cell>
          <cell r="D10">
            <v>0.74299999999999999</v>
          </cell>
          <cell r="E10">
            <v>0.69699999999999995</v>
          </cell>
          <cell r="F10">
            <v>0.26290000000000002</v>
          </cell>
          <cell r="G10">
            <v>0.42309999999999998</v>
          </cell>
          <cell r="H10">
            <v>8.4599999999999991</v>
          </cell>
        </row>
        <row r="11">
          <cell r="A11" t="str">
            <v>04:Q3</v>
          </cell>
          <cell r="B11">
            <v>6.21</v>
          </cell>
          <cell r="C11">
            <v>0.42599999999999999</v>
          </cell>
          <cell r="D11">
            <v>0.751</v>
          </cell>
          <cell r="E11">
            <v>0.70599999999999996</v>
          </cell>
          <cell r="F11">
            <v>0.33</v>
          </cell>
          <cell r="G11">
            <v>0.41</v>
          </cell>
          <cell r="H11">
            <v>8.8330000000000002</v>
          </cell>
        </row>
        <row r="12">
          <cell r="A12" t="str">
            <v>04:Q4</v>
          </cell>
          <cell r="B12">
            <v>6.36</v>
          </cell>
          <cell r="C12">
            <v>0.46800000000000003</v>
          </cell>
          <cell r="D12">
            <v>0.72799999999999998</v>
          </cell>
          <cell r="E12">
            <v>0.71699999999999997</v>
          </cell>
          <cell r="F12">
            <v>0.34570000000000001</v>
          </cell>
          <cell r="G12">
            <v>0.4229</v>
          </cell>
          <cell r="H12">
            <v>9.0416000000000007</v>
          </cell>
        </row>
        <row r="13">
          <cell r="A13" t="str">
            <v>05:Q1</v>
          </cell>
          <cell r="B13">
            <v>6.5119999999999996</v>
          </cell>
          <cell r="C13">
            <v>0.502</v>
          </cell>
          <cell r="D13">
            <v>0.72499999999999998</v>
          </cell>
          <cell r="E13">
            <v>0.71</v>
          </cell>
          <cell r="F13">
            <v>0.36359999999999998</v>
          </cell>
          <cell r="G13">
            <v>0.39410000000000001</v>
          </cell>
          <cell r="H13">
            <v>9.2066999999999979</v>
          </cell>
        </row>
        <row r="14">
          <cell r="A14" t="str">
            <v>05:Q2</v>
          </cell>
          <cell r="B14">
            <v>6.6959999999999997</v>
          </cell>
          <cell r="C14">
            <v>0.52800000000000002</v>
          </cell>
          <cell r="D14">
            <v>0.77400000000000002</v>
          </cell>
          <cell r="E14">
            <v>0.71699999999999997</v>
          </cell>
          <cell r="F14">
            <v>0.37440000000000001</v>
          </cell>
          <cell r="G14">
            <v>0.40239999999999998</v>
          </cell>
          <cell r="H14">
            <v>9.4917999999999996</v>
          </cell>
        </row>
        <row r="15">
          <cell r="A15" t="str">
            <v>05:Q3</v>
          </cell>
          <cell r="B15">
            <v>6.9059999999999997</v>
          </cell>
          <cell r="C15">
            <v>0.54100000000000004</v>
          </cell>
          <cell r="D15">
            <v>0.83</v>
          </cell>
          <cell r="E15">
            <v>0.73199999999999998</v>
          </cell>
          <cell r="F15">
            <v>0.37769999999999998</v>
          </cell>
          <cell r="G15">
            <v>0.40539999999999998</v>
          </cell>
          <cell r="H15">
            <v>9.7920999999999996</v>
          </cell>
        </row>
        <row r="16">
          <cell r="A16" t="str">
            <v>05:Q4</v>
          </cell>
          <cell r="B16">
            <v>7.1020000000000003</v>
          </cell>
          <cell r="C16">
            <v>0.56499999999999995</v>
          </cell>
          <cell r="D16">
            <v>0.79200000000000004</v>
          </cell>
          <cell r="E16">
            <v>0.73599999999999999</v>
          </cell>
          <cell r="F16">
            <v>0.39169999999999999</v>
          </cell>
          <cell r="G16">
            <v>0.41549999999999998</v>
          </cell>
          <cell r="H16">
            <v>10.0022</v>
          </cell>
        </row>
        <row r="17">
          <cell r="A17" t="str">
            <v>06:Q1</v>
          </cell>
          <cell r="B17">
            <v>7.4359999999999999</v>
          </cell>
          <cell r="C17">
            <v>0.58199999999999996</v>
          </cell>
          <cell r="D17">
            <v>0.78800000000000003</v>
          </cell>
          <cell r="E17">
            <v>0.72299999999999998</v>
          </cell>
          <cell r="F17">
            <v>0.4345</v>
          </cell>
          <cell r="G17">
            <v>0.41830000000000001</v>
          </cell>
          <cell r="H17">
            <v>10.381800000000002</v>
          </cell>
        </row>
        <row r="18">
          <cell r="A18" t="str">
            <v>06:Q2</v>
          </cell>
          <cell r="B18">
            <v>7.76</v>
          </cell>
          <cell r="C18">
            <v>0.59</v>
          </cell>
          <cell r="D18">
            <v>0.79600000000000004</v>
          </cell>
          <cell r="E18">
            <v>0.73899999999999999</v>
          </cell>
          <cell r="F18">
            <v>0.43890000000000001</v>
          </cell>
          <cell r="G18">
            <v>0.42320000000000002</v>
          </cell>
          <cell r="H18">
            <v>10.7471</v>
          </cell>
        </row>
        <row r="19">
          <cell r="A19" t="str">
            <v>06:Q3</v>
          </cell>
          <cell r="B19">
            <v>8.0449999999999999</v>
          </cell>
          <cell r="C19">
            <v>0.60299999999999998</v>
          </cell>
          <cell r="D19">
            <v>0.82099999999999995</v>
          </cell>
          <cell r="E19">
            <v>0.754</v>
          </cell>
          <cell r="F19">
            <v>0.44669999999999999</v>
          </cell>
          <cell r="G19">
            <v>0.44169999999999998</v>
          </cell>
          <cell r="H19">
            <v>11.1114</v>
          </cell>
        </row>
        <row r="20">
          <cell r="A20" t="str">
            <v>06:Q4</v>
          </cell>
          <cell r="B20">
            <v>8.234</v>
          </cell>
          <cell r="C20">
            <v>0.60399999999999998</v>
          </cell>
          <cell r="D20">
            <v>0.82099999999999995</v>
          </cell>
          <cell r="E20">
            <v>0.76700000000000002</v>
          </cell>
          <cell r="F20">
            <v>0.48159999999999997</v>
          </cell>
          <cell r="G20">
            <v>0.40570000000000001</v>
          </cell>
          <cell r="H20">
            <v>11.313299999999998</v>
          </cell>
        </row>
        <row r="21">
          <cell r="A21" t="str">
            <v>07:Q1</v>
          </cell>
          <cell r="B21">
            <v>8.4220000000000006</v>
          </cell>
          <cell r="C21">
            <v>0.60499999999999998</v>
          </cell>
          <cell r="D21">
            <v>0.79400000000000004</v>
          </cell>
          <cell r="E21">
            <v>0.76400000000000001</v>
          </cell>
          <cell r="F21">
            <v>0.50639999999999996</v>
          </cell>
          <cell r="G21">
            <v>0.40389999999999998</v>
          </cell>
          <cell r="H21">
            <v>11.4953</v>
          </cell>
        </row>
        <row r="22">
          <cell r="A22" t="str">
            <v>07:Q2</v>
          </cell>
          <cell r="B22">
            <v>8.7059999999999995</v>
          </cell>
          <cell r="C22">
            <v>0.61899999999999999</v>
          </cell>
          <cell r="D22">
            <v>0.80700000000000005</v>
          </cell>
          <cell r="E22">
            <v>0.79600000000000004</v>
          </cell>
          <cell r="F22">
            <v>0.51400000000000001</v>
          </cell>
          <cell r="G22">
            <v>0.4078</v>
          </cell>
          <cell r="H22">
            <v>11.849799999999998</v>
          </cell>
        </row>
        <row r="23">
          <cell r="A23" t="str">
            <v>07:Q3</v>
          </cell>
          <cell r="B23">
            <v>8.9250000000000007</v>
          </cell>
          <cell r="C23">
            <v>0.63100000000000001</v>
          </cell>
          <cell r="D23">
            <v>0.81799999999999995</v>
          </cell>
          <cell r="E23">
            <v>0.81699999999999995</v>
          </cell>
          <cell r="F23">
            <v>0.52850039999999998</v>
          </cell>
          <cell r="G23">
            <v>0.41299999999999998</v>
          </cell>
          <cell r="H23">
            <v>12.132500400000001</v>
          </cell>
        </row>
        <row r="24">
          <cell r="A24" t="str">
            <v>07:Q4</v>
          </cell>
          <cell r="B24">
            <v>9.1010000000000009</v>
          </cell>
          <cell r="C24">
            <v>0.64700000000000002</v>
          </cell>
          <cell r="D24">
            <v>0.81499999999999995</v>
          </cell>
          <cell r="E24">
            <v>0.83899999999999997</v>
          </cell>
          <cell r="F24">
            <v>0.54749999999999999</v>
          </cell>
          <cell r="G24">
            <v>0.42209999999999998</v>
          </cell>
          <cell r="H24">
            <v>12.371600000000001</v>
          </cell>
        </row>
        <row r="25">
          <cell r="A25" t="str">
            <v>08:Q1</v>
          </cell>
          <cell r="B25">
            <v>9.234</v>
          </cell>
          <cell r="C25">
            <v>0.66300000000000003</v>
          </cell>
          <cell r="D25">
            <v>0.80800000000000005</v>
          </cell>
          <cell r="E25">
            <v>0.83699999999999997</v>
          </cell>
          <cell r="F25">
            <v>0.57920000000000005</v>
          </cell>
          <cell r="G25">
            <v>0.4153</v>
          </cell>
          <cell r="H25">
            <v>12.5365</v>
          </cell>
        </row>
        <row r="26">
          <cell r="A26" t="str">
            <v>08:Q2</v>
          </cell>
          <cell r="B26">
            <v>9.2729999999999997</v>
          </cell>
          <cell r="C26">
            <v>0.67900000000000005</v>
          </cell>
          <cell r="D26">
            <v>0.81</v>
          </cell>
          <cell r="E26">
            <v>0.85</v>
          </cell>
          <cell r="F26">
            <v>0.58630000000000004</v>
          </cell>
          <cell r="G26">
            <v>0.40079999999999999</v>
          </cell>
          <cell r="H26">
            <v>12.5991</v>
          </cell>
        </row>
        <row r="27">
          <cell r="A27" t="str">
            <v>08:Q3</v>
          </cell>
          <cell r="B27">
            <v>9.2940000000000005</v>
          </cell>
          <cell r="C27">
            <v>0.69199999999999995</v>
          </cell>
          <cell r="D27">
            <v>0.80900000000000005</v>
          </cell>
          <cell r="E27">
            <v>0.85799999999999998</v>
          </cell>
          <cell r="F27">
            <v>0.6109</v>
          </cell>
          <cell r="G27">
            <v>0.41149999999999998</v>
          </cell>
          <cell r="H27">
            <v>12.6754</v>
          </cell>
        </row>
        <row r="28">
          <cell r="A28" t="str">
            <v>08:Q4</v>
          </cell>
          <cell r="B28">
            <v>9.2569999999999997</v>
          </cell>
          <cell r="C28">
            <v>0.70499999999999996</v>
          </cell>
          <cell r="D28">
            <v>0.79100000000000004</v>
          </cell>
          <cell r="E28">
            <v>0.86599999999999999</v>
          </cell>
          <cell r="F28">
            <v>0.63929999999999998</v>
          </cell>
          <cell r="G28">
            <v>0.41160000000000002</v>
          </cell>
          <cell r="H28">
            <v>12.6699</v>
          </cell>
        </row>
        <row r="29">
          <cell r="A29" t="str">
            <v>09:Q1</v>
          </cell>
          <cell r="B29">
            <v>9.1349999999999998</v>
          </cell>
          <cell r="C29">
            <v>0.71399999999999997</v>
          </cell>
          <cell r="D29">
            <v>0.76600000000000001</v>
          </cell>
          <cell r="E29">
            <v>0.84299999999999997</v>
          </cell>
          <cell r="F29">
            <v>0.66279999999999994</v>
          </cell>
          <cell r="G29">
            <v>0.4088</v>
          </cell>
          <cell r="H29">
            <v>12.5296</v>
          </cell>
        </row>
        <row r="30">
          <cell r="A30" t="str">
            <v>09:Q2</v>
          </cell>
          <cell r="B30">
            <v>9.0630000000000006</v>
          </cell>
          <cell r="C30">
            <v>0.71299999999999997</v>
          </cell>
          <cell r="D30">
            <v>0.74299999999999999</v>
          </cell>
          <cell r="E30">
            <v>0.82399999999999995</v>
          </cell>
          <cell r="F30">
            <v>0.6754</v>
          </cell>
          <cell r="G30">
            <v>0.38879999999999998</v>
          </cell>
          <cell r="H30">
            <v>12.4072</v>
          </cell>
        </row>
        <row r="31">
          <cell r="A31" t="str">
            <v>09:Q3</v>
          </cell>
          <cell r="B31">
            <v>8.9440000000000008</v>
          </cell>
          <cell r="C31">
            <v>0.70799999999999996</v>
          </cell>
          <cell r="D31">
            <v>0.73899999999999999</v>
          </cell>
          <cell r="E31">
            <v>0.81200000000000006</v>
          </cell>
          <cell r="F31">
            <v>0.69450000000000001</v>
          </cell>
          <cell r="G31">
            <v>0.38150000000000001</v>
          </cell>
          <cell r="H31">
            <v>12.279000000000002</v>
          </cell>
        </row>
        <row r="32">
          <cell r="A32" t="str">
            <v>09:Q4</v>
          </cell>
          <cell r="B32">
            <v>8.843</v>
          </cell>
          <cell r="C32">
            <v>0.70640000000000003</v>
          </cell>
          <cell r="D32">
            <v>0.72189999999999999</v>
          </cell>
          <cell r="E32">
            <v>0.79500000000000004</v>
          </cell>
          <cell r="F32">
            <v>0.72130000000000005</v>
          </cell>
          <cell r="G32">
            <v>0.3785</v>
          </cell>
          <cell r="H32">
            <v>12.1661</v>
          </cell>
        </row>
        <row r="33">
          <cell r="A33" t="str">
            <v>10:Q1</v>
          </cell>
          <cell r="B33">
            <v>8.8339999999999996</v>
          </cell>
          <cell r="C33">
            <v>0.69510000000000005</v>
          </cell>
          <cell r="D33">
            <v>0.70469999999999999</v>
          </cell>
          <cell r="E33">
            <v>0.76239999999999997</v>
          </cell>
          <cell r="F33">
            <v>0.75780000000000003</v>
          </cell>
          <cell r="G33">
            <v>0.3629</v>
          </cell>
          <cell r="H33">
            <v>12.116899999999999</v>
          </cell>
        </row>
        <row r="34">
          <cell r="A34" t="str">
            <v>10:Q2</v>
          </cell>
          <cell r="B34">
            <v>8.7029999999999994</v>
          </cell>
          <cell r="C34">
            <v>0.68259999999999998</v>
          </cell>
          <cell r="D34">
            <v>0.70220000000000005</v>
          </cell>
          <cell r="E34">
            <v>0.74439999999999995</v>
          </cell>
          <cell r="F34">
            <v>0.76170000000000004</v>
          </cell>
          <cell r="G34">
            <v>0.34910000000000002</v>
          </cell>
          <cell r="H34">
            <v>11.943</v>
          </cell>
        </row>
        <row r="35">
          <cell r="A35" t="str">
            <v>10:Q3</v>
          </cell>
          <cell r="B35">
            <v>8.609</v>
          </cell>
          <cell r="C35">
            <v>0.6734</v>
          </cell>
          <cell r="D35">
            <v>0.71</v>
          </cell>
          <cell r="E35">
            <v>0.73109999999999997</v>
          </cell>
          <cell r="F35">
            <v>0.7782</v>
          </cell>
          <cell r="G35">
            <v>0.3427</v>
          </cell>
          <cell r="H35">
            <v>11.8444</v>
          </cell>
        </row>
        <row r="36">
          <cell r="A36" t="str">
            <v>10:Q4</v>
          </cell>
          <cell r="B36">
            <v>8.452</v>
          </cell>
          <cell r="C36">
            <v>0.66779999999999995</v>
          </cell>
          <cell r="D36">
            <v>0.71099999999999997</v>
          </cell>
          <cell r="E36">
            <v>0.72960000000000003</v>
          </cell>
          <cell r="F36">
            <v>0.81179999999999997</v>
          </cell>
          <cell r="G36">
            <v>0.34100000000000003</v>
          </cell>
          <cell r="H36">
            <v>11.713199999999999</v>
          </cell>
        </row>
        <row r="37">
          <cell r="A37" t="str">
            <v>11:Q1</v>
          </cell>
          <cell r="B37">
            <v>8.5440000000000005</v>
          </cell>
          <cell r="C37">
            <v>0.64049999999999996</v>
          </cell>
          <cell r="D37">
            <v>0.7056</v>
          </cell>
          <cell r="E37">
            <v>0.69640000000000002</v>
          </cell>
          <cell r="F37">
            <v>0.83919999999999995</v>
          </cell>
          <cell r="G37">
            <v>0.32869999999999999</v>
          </cell>
          <cell r="H37">
            <v>11.7544</v>
          </cell>
        </row>
        <row r="38">
          <cell r="A38" t="str">
            <v>11:Q2</v>
          </cell>
          <cell r="B38">
            <v>8.516</v>
          </cell>
          <cell r="C38">
            <v>0.62450000000000006</v>
          </cell>
          <cell r="D38">
            <v>0.71299999999999997</v>
          </cell>
          <cell r="E38">
            <v>0.69430000000000003</v>
          </cell>
          <cell r="F38">
            <v>0.85140000000000005</v>
          </cell>
          <cell r="G38">
            <v>0.33029999999999998</v>
          </cell>
          <cell r="H38">
            <v>11.729499999999998</v>
          </cell>
        </row>
        <row r="39">
          <cell r="A39" t="str">
            <v>11:Q3</v>
          </cell>
          <cell r="B39">
            <v>8.4019999999999992</v>
          </cell>
          <cell r="C39">
            <v>0.63870000000000005</v>
          </cell>
          <cell r="D39">
            <v>0.73040000000000005</v>
          </cell>
          <cell r="E39">
            <v>0.69330000000000003</v>
          </cell>
          <cell r="F39">
            <v>0.87019999999999997</v>
          </cell>
          <cell r="G39">
            <v>0.3266</v>
          </cell>
          <cell r="H39">
            <v>11.661200000000001</v>
          </cell>
        </row>
        <row r="40">
          <cell r="A40" t="str">
            <v>11:Q4</v>
          </cell>
          <cell r="B40">
            <v>8.2680000000000007</v>
          </cell>
          <cell r="C40">
            <v>0.62709999999999999</v>
          </cell>
          <cell r="D40">
            <v>0.73409999999999997</v>
          </cell>
          <cell r="E40">
            <v>0.70399999999999996</v>
          </cell>
          <cell r="F40">
            <v>0.87360000000000004</v>
          </cell>
          <cell r="G40">
            <v>0.33</v>
          </cell>
          <cell r="H40">
            <v>11.536800000000001</v>
          </cell>
        </row>
        <row r="41">
          <cell r="A41" t="str">
            <v>12:Q1</v>
          </cell>
          <cell r="B41">
            <v>8.1869999999999994</v>
          </cell>
          <cell r="C41">
            <v>0.61180000000000001</v>
          </cell>
          <cell r="D41">
            <v>0.73650000000000004</v>
          </cell>
          <cell r="E41">
            <v>0.67879999999999996</v>
          </cell>
          <cell r="F41">
            <v>0.90365613</v>
          </cell>
          <cell r="G41">
            <v>0.31850000000000001</v>
          </cell>
          <cell r="H41">
            <v>11.43625613</v>
          </cell>
        </row>
        <row r="42">
          <cell r="A42" t="str">
            <v>12:Q2</v>
          </cell>
          <cell r="B42">
            <v>8.1470000000000002</v>
          </cell>
          <cell r="C42">
            <v>0.58899999999999997</v>
          </cell>
          <cell r="D42">
            <v>0.75</v>
          </cell>
          <cell r="E42">
            <v>0.67200000000000004</v>
          </cell>
          <cell r="F42">
            <v>0.91400000000000003</v>
          </cell>
          <cell r="G42">
            <v>0.312</v>
          </cell>
          <cell r="H42">
            <v>11.384</v>
          </cell>
        </row>
        <row r="43">
          <cell r="A43" t="str">
            <v>12:Q3</v>
          </cell>
          <cell r="B43">
            <v>8.0280000000000005</v>
          </cell>
          <cell r="C43">
            <v>0.57299999999999995</v>
          </cell>
          <cell r="D43">
            <v>0.76800000000000002</v>
          </cell>
          <cell r="E43">
            <v>0.67400000000000004</v>
          </cell>
          <cell r="F43">
            <v>0.95599999999999996</v>
          </cell>
          <cell r="G43">
            <v>0.311</v>
          </cell>
          <cell r="H43">
            <v>11.31</v>
          </cell>
        </row>
        <row r="44">
          <cell r="A44" t="str">
            <v>12:Q4</v>
          </cell>
          <cell r="B44">
            <v>8.0329999999999995</v>
          </cell>
          <cell r="C44">
            <v>0.56299999999999994</v>
          </cell>
          <cell r="D44">
            <v>0.78300000000000003</v>
          </cell>
          <cell r="E44">
            <v>0.67900000000000005</v>
          </cell>
          <cell r="F44">
            <v>0.96599999999999997</v>
          </cell>
          <cell r="G44">
            <v>0.317</v>
          </cell>
          <cell r="H44">
            <v>11.340999999999999</v>
          </cell>
        </row>
        <row r="45">
          <cell r="A45" t="str">
            <v>13:Q1</v>
          </cell>
          <cell r="B45">
            <v>7.9320000000000004</v>
          </cell>
          <cell r="C45">
            <v>0.55200000000000005</v>
          </cell>
          <cell r="D45">
            <v>0.79400000000000004</v>
          </cell>
          <cell r="E45">
            <v>0.66</v>
          </cell>
          <cell r="F45">
            <v>0.98599999999999999</v>
          </cell>
          <cell r="G45">
            <v>0.307</v>
          </cell>
          <cell r="H45">
            <v>11.231000000000002</v>
          </cell>
        </row>
        <row r="46">
          <cell r="A46" t="str">
            <v>13:Q2</v>
          </cell>
          <cell r="B46">
            <v>7.8410000000000002</v>
          </cell>
          <cell r="C46">
            <v>0.54</v>
          </cell>
          <cell r="D46">
            <v>0.81399999999999995</v>
          </cell>
          <cell r="E46">
            <v>0.66800000000000004</v>
          </cell>
          <cell r="F46">
            <v>0.99399999999999999</v>
          </cell>
          <cell r="G46">
            <v>0.29599999999999999</v>
          </cell>
          <cell r="H46">
            <v>11.152999999999999</v>
          </cell>
        </row>
        <row r="47">
          <cell r="A47" t="str">
            <v>13:Q3</v>
          </cell>
          <cell r="B47">
            <v>7.8970000000000002</v>
          </cell>
          <cell r="C47">
            <v>0.53500000000000003</v>
          </cell>
          <cell r="D47">
            <v>0.84499999999999997</v>
          </cell>
          <cell r="E47">
            <v>0.67200000000000004</v>
          </cell>
          <cell r="F47">
            <v>1.0269999999999999</v>
          </cell>
          <cell r="G47">
            <v>0.30399999999999999</v>
          </cell>
          <cell r="H47">
            <v>11.280000000000001</v>
          </cell>
        </row>
        <row r="48">
          <cell r="A48" t="str">
            <v>13:Q4</v>
          </cell>
          <cell r="B48">
            <v>8.0489999999999995</v>
          </cell>
          <cell r="C48">
            <v>0.52900000000000003</v>
          </cell>
          <cell r="D48">
            <v>0.86299999999999999</v>
          </cell>
          <cell r="E48">
            <v>0.68300000000000005</v>
          </cell>
          <cell r="F48">
            <v>1.08</v>
          </cell>
          <cell r="G48">
            <v>0.317</v>
          </cell>
          <cell r="H48">
            <v>11.520999999999999</v>
          </cell>
        </row>
        <row r="49">
          <cell r="A49" t="str">
            <v>14:Q1</v>
          </cell>
          <cell r="B49">
            <v>8.1649999999999991</v>
          </cell>
          <cell r="C49">
            <v>0.52600000000000002</v>
          </cell>
          <cell r="D49">
            <v>0.875</v>
          </cell>
          <cell r="E49">
            <v>0.65900000000000003</v>
          </cell>
          <cell r="F49">
            <v>1.111</v>
          </cell>
          <cell r="G49">
            <v>0.314</v>
          </cell>
          <cell r="H49">
            <v>11.65</v>
          </cell>
        </row>
        <row r="50">
          <cell r="A50" t="str">
            <v>14:Q2</v>
          </cell>
          <cell r="B50">
            <v>8.0960000000000001</v>
          </cell>
          <cell r="C50">
            <v>0.52100000000000002</v>
          </cell>
          <cell r="D50">
            <v>0.90500000000000003</v>
          </cell>
          <cell r="E50">
            <v>0.66900000000000004</v>
          </cell>
          <cell r="F50">
            <v>1.1180000000000001</v>
          </cell>
          <cell r="G50">
            <v>0.32300000000000001</v>
          </cell>
          <cell r="H50">
            <v>11.632000000000001</v>
          </cell>
        </row>
        <row r="51">
          <cell r="A51" t="str">
            <v>14:Q3</v>
          </cell>
          <cell r="B51">
            <v>8.1310000000000002</v>
          </cell>
          <cell r="C51">
            <v>0.51200000000000001</v>
          </cell>
          <cell r="D51">
            <v>0.93400000000000005</v>
          </cell>
          <cell r="E51">
            <v>0.68</v>
          </cell>
          <cell r="F51">
            <v>1.1259999999999999</v>
          </cell>
          <cell r="G51">
            <v>0.32700000000000001</v>
          </cell>
          <cell r="H51">
            <v>11.709999999999999</v>
          </cell>
        </row>
        <row r="52">
          <cell r="A52" t="str">
            <v>14:Q4</v>
          </cell>
          <cell r="B52">
            <v>8.17</v>
          </cell>
          <cell r="C52">
            <v>0.51</v>
          </cell>
          <cell r="D52">
            <v>0.95499999999999996</v>
          </cell>
          <cell r="E52">
            <v>0.7</v>
          </cell>
          <cell r="F52">
            <v>1.157</v>
          </cell>
          <cell r="G52">
            <v>0.33500000000000002</v>
          </cell>
          <cell r="H52">
            <v>11.827</v>
          </cell>
        </row>
        <row r="53">
          <cell r="A53" t="str">
            <v>15:Q1</v>
          </cell>
          <cell r="B53">
            <v>8.1709999999999994</v>
          </cell>
          <cell r="C53">
            <v>0.51</v>
          </cell>
          <cell r="D53">
            <v>0.96799999999999997</v>
          </cell>
          <cell r="E53">
            <v>0.68400000000000005</v>
          </cell>
          <cell r="F53">
            <v>1.1890000000000001</v>
          </cell>
          <cell r="G53">
            <v>0.32900000000000001</v>
          </cell>
          <cell r="H53">
            <v>11.850999999999999</v>
          </cell>
        </row>
        <row r="54">
          <cell r="A54" t="str">
            <v>15:Q2</v>
          </cell>
          <cell r="B54">
            <v>8.1159999999999997</v>
          </cell>
          <cell r="C54">
            <v>0.499</v>
          </cell>
          <cell r="D54">
            <v>1.006</v>
          </cell>
          <cell r="E54">
            <v>0.70299999999999996</v>
          </cell>
          <cell r="F54">
            <v>1.19</v>
          </cell>
          <cell r="G54">
            <v>0.33900000000000002</v>
          </cell>
          <cell r="H54">
            <v>11.853</v>
          </cell>
        </row>
        <row r="55">
          <cell r="A55" t="str">
            <v>15:Q3</v>
          </cell>
          <cell r="B55">
            <v>8.26</v>
          </cell>
          <cell r="C55">
            <v>0.49199999999999999</v>
          </cell>
          <cell r="D55">
            <v>1.0449999999999999</v>
          </cell>
          <cell r="E55">
            <v>0.71399999999999997</v>
          </cell>
          <cell r="F55">
            <v>1.2030000000000001</v>
          </cell>
          <cell r="G55">
            <v>0.35099999999999998</v>
          </cell>
          <cell r="H55">
            <v>12.064999999999998</v>
          </cell>
        </row>
        <row r="56">
          <cell r="A56" t="str">
            <v>15:Q4</v>
          </cell>
          <cell r="B56">
            <v>8.2490000000000006</v>
          </cell>
          <cell r="C56">
            <v>0.48699999999999999</v>
          </cell>
          <cell r="D56">
            <v>1.0640000000000001</v>
          </cell>
          <cell r="E56">
            <v>0.73299999999999998</v>
          </cell>
          <cell r="F56">
            <v>1.232</v>
          </cell>
          <cell r="G56">
            <v>0.35099999999999998</v>
          </cell>
          <cell r="H56">
            <v>12.116</v>
          </cell>
        </row>
        <row r="57">
          <cell r="A57" t="str">
            <v>16:Q1</v>
          </cell>
          <cell r="B57">
            <v>8.3689999999999998</v>
          </cell>
          <cell r="C57">
            <v>0.48499999999999999</v>
          </cell>
          <cell r="D57">
            <v>1.071</v>
          </cell>
          <cell r="E57">
            <v>0.71199999999999997</v>
          </cell>
          <cell r="F57">
            <v>1.2609999999999999</v>
          </cell>
          <cell r="G57">
            <v>0.35399999999999998</v>
          </cell>
          <cell r="H57">
            <v>12.251999999999997</v>
          </cell>
        </row>
        <row r="58">
          <cell r="A58" t="str">
            <v>16:Q2</v>
          </cell>
          <cell r="B58">
            <v>8.3620000000000001</v>
          </cell>
          <cell r="C58">
            <v>0.47799999999999998</v>
          </cell>
          <cell r="D58">
            <v>1.103</v>
          </cell>
          <cell r="E58">
            <v>0.72899999999999998</v>
          </cell>
          <cell r="F58">
            <v>1.2589999999999999</v>
          </cell>
          <cell r="G58">
            <v>0.35599999999999998</v>
          </cell>
          <cell r="H58">
            <v>12.286999999999999</v>
          </cell>
        </row>
        <row r="59">
          <cell r="A59" t="str">
            <v>16:Q3</v>
          </cell>
          <cell r="B59">
            <v>8.35</v>
          </cell>
          <cell r="C59">
            <v>0.47199999999999998</v>
          </cell>
          <cell r="D59">
            <v>1.135</v>
          </cell>
          <cell r="E59">
            <v>0.747</v>
          </cell>
          <cell r="F59">
            <v>1.2789999999999999</v>
          </cell>
          <cell r="G59">
            <v>0.36699999999999999</v>
          </cell>
          <cell r="H59">
            <v>12.349999999999998</v>
          </cell>
        </row>
        <row r="60">
          <cell r="A60" t="str">
            <v>16:Q4</v>
          </cell>
          <cell r="B60">
            <v>8.48</v>
          </cell>
          <cell r="C60">
            <v>0.47299999999999998</v>
          </cell>
          <cell r="D60">
            <v>1.157</v>
          </cell>
          <cell r="E60">
            <v>0.77900000000000003</v>
          </cell>
          <cell r="F60">
            <v>1.31</v>
          </cell>
          <cell r="G60">
            <v>0.377</v>
          </cell>
          <cell r="H60">
            <v>12.576000000000002</v>
          </cell>
        </row>
        <row r="61">
          <cell r="A61" t="str">
            <v>17:Q1</v>
          </cell>
          <cell r="B61">
            <v>8.6270000000000007</v>
          </cell>
          <cell r="C61">
            <v>0.45600000000000002</v>
          </cell>
          <cell r="D61">
            <v>1.167</v>
          </cell>
          <cell r="E61">
            <v>0.76400000000000001</v>
          </cell>
          <cell r="F61">
            <v>1.3440000000000001</v>
          </cell>
          <cell r="G61">
            <v>0.36699999999999999</v>
          </cell>
          <cell r="H61">
            <v>12.724999999999998</v>
          </cell>
        </row>
        <row r="62">
          <cell r="A62" t="str">
            <v>17:Q2</v>
          </cell>
          <cell r="B62">
            <v>8.6910000000000007</v>
          </cell>
          <cell r="C62">
            <v>0.45200000000000001</v>
          </cell>
          <cell r="D62">
            <v>1.19</v>
          </cell>
          <cell r="E62">
            <v>0.78400000000000003</v>
          </cell>
          <cell r="F62">
            <v>1.3440000000000001</v>
          </cell>
          <cell r="G62">
            <v>0.378</v>
          </cell>
          <cell r="H62">
            <v>12.839</v>
          </cell>
        </row>
        <row r="63">
          <cell r="A63" t="str">
            <v>17:Q3</v>
          </cell>
          <cell r="B63">
            <v>8.7430000000000003</v>
          </cell>
          <cell r="C63">
            <v>0.44800000000000001</v>
          </cell>
          <cell r="D63">
            <v>1.2130000000000001</v>
          </cell>
          <cell r="E63">
            <v>0.80800000000000005</v>
          </cell>
          <cell r="F63">
            <v>1.357</v>
          </cell>
          <cell r="G63">
            <v>0.38600000000000001</v>
          </cell>
          <cell r="H63">
            <v>12.954999999999998</v>
          </cell>
        </row>
        <row r="64">
          <cell r="A64" t="str">
            <v>17:Q4</v>
          </cell>
          <cell r="B64">
            <v>8.8819999999999997</v>
          </cell>
          <cell r="C64">
            <v>0.44400000000000001</v>
          </cell>
          <cell r="D64">
            <v>1.2210000000000001</v>
          </cell>
          <cell r="E64">
            <v>0.83399999999999996</v>
          </cell>
          <cell r="F64">
            <v>1.3779999999999999</v>
          </cell>
          <cell r="G64">
            <v>0.38900000000000001</v>
          </cell>
          <cell r="H64">
            <v>13.148</v>
          </cell>
        </row>
        <row r="65">
          <cell r="A65" t="str">
            <v>18:Q1</v>
          </cell>
          <cell r="B65">
            <v>8.9390000000000001</v>
          </cell>
          <cell r="C65">
            <v>0.436</v>
          </cell>
          <cell r="D65">
            <v>1.2290000000000001</v>
          </cell>
          <cell r="E65">
            <v>0.81499999999999995</v>
          </cell>
          <cell r="F65">
            <v>1.407</v>
          </cell>
          <cell r="G65">
            <v>0.38500000000000001</v>
          </cell>
          <cell r="H65">
            <v>13.210999999999999</v>
          </cell>
        </row>
        <row r="66">
          <cell r="A66" t="str">
            <v>18:Q2</v>
          </cell>
          <cell r="B66">
            <v>8.9990000000000006</v>
          </cell>
          <cell r="C66">
            <v>0.432</v>
          </cell>
          <cell r="D66">
            <v>1.238</v>
          </cell>
          <cell r="E66">
            <v>0.82899999999999996</v>
          </cell>
          <cell r="F66">
            <v>1.405</v>
          </cell>
          <cell r="G66">
            <v>0.39</v>
          </cell>
          <cell r="H66">
            <v>13.293000000000001</v>
          </cell>
        </row>
        <row r="67">
          <cell r="A67" t="str">
            <v>18:Q3</v>
          </cell>
          <cell r="B67">
            <v>9.14</v>
          </cell>
          <cell r="C67">
            <v>0.42199999999999999</v>
          </cell>
          <cell r="D67">
            <v>1.2649999999999999</v>
          </cell>
          <cell r="E67">
            <v>0.84399999999999997</v>
          </cell>
          <cell r="F67">
            <v>1.4419999999999999</v>
          </cell>
          <cell r="G67">
            <v>0.39900000000000002</v>
          </cell>
          <cell r="H67">
            <v>13.512</v>
          </cell>
        </row>
        <row r="68">
          <cell r="A68" t="str">
            <v>18:Q4</v>
          </cell>
          <cell r="B68">
            <v>9.1240000000000006</v>
          </cell>
          <cell r="C68">
            <v>0.41199999999999998</v>
          </cell>
          <cell r="D68">
            <v>1.274</v>
          </cell>
          <cell r="E68">
            <v>0.87</v>
          </cell>
          <cell r="F68">
            <v>1.4570000000000001</v>
          </cell>
          <cell r="G68">
            <v>0.40699999999999997</v>
          </cell>
          <cell r="H68">
            <v>13.544000000000002</v>
          </cell>
        </row>
        <row r="69">
          <cell r="A69" t="str">
            <v>19:Q1</v>
          </cell>
          <cell r="B69">
            <v>9.2439999999999998</v>
          </cell>
          <cell r="C69">
            <v>0.40600000000000003</v>
          </cell>
          <cell r="D69">
            <v>1.28</v>
          </cell>
          <cell r="E69">
            <v>0.84799999999999998</v>
          </cell>
          <cell r="F69">
            <v>1.486</v>
          </cell>
          <cell r="G69">
            <v>0.40400000000000003</v>
          </cell>
          <cell r="H69">
            <v>13.668000000000001</v>
          </cell>
        </row>
        <row r="70">
          <cell r="A70" t="str">
            <v>19:Q2</v>
          </cell>
          <cell r="B70">
            <v>9.4060000000000006</v>
          </cell>
          <cell r="C70">
            <v>0.39900000000000002</v>
          </cell>
          <cell r="D70">
            <v>1.2969999999999999</v>
          </cell>
          <cell r="E70">
            <v>0.86799999999999999</v>
          </cell>
          <cell r="F70">
            <v>1.478</v>
          </cell>
          <cell r="G70">
            <v>0.41199999999999998</v>
          </cell>
          <cell r="H70">
            <v>13.860000000000001</v>
          </cell>
        </row>
        <row r="71">
          <cell r="A71" t="str">
            <v>19:Q3</v>
          </cell>
          <cell r="B71">
            <v>9.4369999999999994</v>
          </cell>
          <cell r="C71">
            <v>0.39600000000000002</v>
          </cell>
          <cell r="D71">
            <v>1.3149999999999999</v>
          </cell>
          <cell r="E71">
            <v>0.88100000000000001</v>
          </cell>
          <cell r="F71">
            <v>1.498</v>
          </cell>
          <cell r="G71">
            <v>0.42499999999999999</v>
          </cell>
          <cell r="H71">
            <v>13.952</v>
          </cell>
        </row>
        <row r="72">
          <cell r="A72" t="str">
            <v>19:Q4</v>
          </cell>
          <cell r="B72">
            <v>9.5570000000000004</v>
          </cell>
          <cell r="C72">
            <v>0.39</v>
          </cell>
          <cell r="D72">
            <v>1.331</v>
          </cell>
          <cell r="E72">
            <v>0.92700000000000005</v>
          </cell>
          <cell r="F72">
            <v>1.508</v>
          </cell>
          <cell r="G72">
            <v>0.432</v>
          </cell>
          <cell r="H72">
            <v>14.145000000000001</v>
          </cell>
        </row>
        <row r="73">
          <cell r="A73" t="str">
            <v>20:Q1</v>
          </cell>
          <cell r="B73">
            <v>9.7129999999999992</v>
          </cell>
          <cell r="C73">
            <v>0.38600000000000001</v>
          </cell>
          <cell r="D73">
            <v>1.3460000000000001</v>
          </cell>
          <cell r="E73">
            <v>0.89300000000000002</v>
          </cell>
          <cell r="F73">
            <v>1.5349999999999999</v>
          </cell>
          <cell r="G73">
            <v>0.42699999999999999</v>
          </cell>
          <cell r="H73">
            <v>14.299999999999999</v>
          </cell>
        </row>
        <row r="74">
          <cell r="A74" t="str">
            <v>20:Q2</v>
          </cell>
          <cell r="B74">
            <v>9.7759999999999998</v>
          </cell>
          <cell r="C74">
            <v>0.375</v>
          </cell>
          <cell r="D74">
            <v>1.343</v>
          </cell>
          <cell r="E74">
            <v>0.81699999999999995</v>
          </cell>
          <cell r="F74">
            <v>1.5369999999999999</v>
          </cell>
          <cell r="G74">
            <v>0.41799999999999998</v>
          </cell>
          <cell r="H74">
            <v>14.265999999999998</v>
          </cell>
        </row>
        <row r="75">
          <cell r="A75" t="str">
            <v>20:Q3</v>
          </cell>
          <cell r="B75">
            <v>9.8610000000000007</v>
          </cell>
          <cell r="C75">
            <v>0.36199999999999999</v>
          </cell>
          <cell r="D75">
            <v>1.36</v>
          </cell>
          <cell r="E75">
            <v>0.80700000000000005</v>
          </cell>
          <cell r="F75">
            <v>1.546</v>
          </cell>
          <cell r="G75">
            <v>0.41699999999999998</v>
          </cell>
          <cell r="H75">
            <v>14.353</v>
          </cell>
        </row>
        <row r="76">
          <cell r="A76" t="str">
            <v>20:Q4</v>
          </cell>
          <cell r="B76">
            <v>10.042999999999999</v>
          </cell>
          <cell r="C76">
            <v>0.34899999999999998</v>
          </cell>
          <cell r="D76">
            <v>1.3740000000000001</v>
          </cell>
          <cell r="E76">
            <v>0.81899999999999995</v>
          </cell>
          <cell r="F76">
            <v>1.5549999999999999</v>
          </cell>
          <cell r="G76">
            <v>0.41899999999999998</v>
          </cell>
          <cell r="H76">
            <v>14.559000000000001</v>
          </cell>
        </row>
        <row r="77">
          <cell r="A77" t="str">
            <v>21:Q1</v>
          </cell>
          <cell r="B77">
            <v>10.16</v>
          </cell>
          <cell r="C77">
            <v>0.33500000000000002</v>
          </cell>
          <cell r="D77">
            <v>1.3819999999999999</v>
          </cell>
          <cell r="E77">
            <v>0.77</v>
          </cell>
          <cell r="F77">
            <v>1.5840000000000001</v>
          </cell>
          <cell r="G77">
            <v>0.41299999999999998</v>
          </cell>
          <cell r="H77">
            <v>14.644</v>
          </cell>
        </row>
        <row r="78">
          <cell r="A78" t="str">
            <v>21:Q2</v>
          </cell>
          <cell r="B78">
            <v>10.442</v>
          </cell>
          <cell r="C78">
            <v>0.32200000000000001</v>
          </cell>
          <cell r="D78">
            <v>1.415</v>
          </cell>
          <cell r="E78">
            <v>0.78700000000000003</v>
          </cell>
          <cell r="F78">
            <v>1.57</v>
          </cell>
          <cell r="G78">
            <v>0.42099999999999999</v>
          </cell>
          <cell r="H78">
            <v>14.956999999999999</v>
          </cell>
        </row>
        <row r="79">
          <cell r="A79" t="str">
            <v>21:Q3</v>
          </cell>
          <cell r="B79">
            <v>10.672000000000001</v>
          </cell>
          <cell r="C79">
            <v>0.317</v>
          </cell>
          <cell r="D79">
            <v>1.4430000000000001</v>
          </cell>
          <cell r="E79">
            <v>0.80400000000000005</v>
          </cell>
          <cell r="F79">
            <v>1.5840000000000001</v>
          </cell>
          <cell r="G79">
            <v>0.42299999999999999</v>
          </cell>
          <cell r="H79">
            <v>15.243</v>
          </cell>
        </row>
        <row r="80">
          <cell r="A80" t="str">
            <v>21:Q4</v>
          </cell>
          <cell r="B80">
            <v>10.93</v>
          </cell>
          <cell r="C80">
            <v>0.318</v>
          </cell>
          <cell r="D80">
            <v>1.458</v>
          </cell>
          <cell r="E80">
            <v>0.85599999999999998</v>
          </cell>
          <cell r="F80">
            <v>1.5760000000000001</v>
          </cell>
          <cell r="G80">
            <v>0.438</v>
          </cell>
          <cell r="H80">
            <v>15.576000000000001</v>
          </cell>
        </row>
        <row r="81">
          <cell r="A81" t="str">
            <v>22:Q1</v>
          </cell>
          <cell r="B81">
            <v>11.18</v>
          </cell>
          <cell r="C81">
            <v>0.317</v>
          </cell>
          <cell r="D81">
            <v>1.4690000000000001</v>
          </cell>
          <cell r="E81">
            <v>0.84099999999999997</v>
          </cell>
          <cell r="F81">
            <v>1.59</v>
          </cell>
          <cell r="G81">
            <v>0.44500000000000001</v>
          </cell>
          <cell r="H81">
            <v>15.841999999999999</v>
          </cell>
        </row>
        <row r="82">
          <cell r="A82" t="str">
            <v>22:Q2</v>
          </cell>
          <cell r="B82">
            <v>11.387</v>
          </cell>
          <cell r="C82">
            <v>0.31900000000000001</v>
          </cell>
          <cell r="D82">
            <v>1.502</v>
          </cell>
          <cell r="E82">
            <v>0.88700000000000001</v>
          </cell>
          <cell r="F82">
            <v>1.589</v>
          </cell>
          <cell r="G82">
            <v>0.47</v>
          </cell>
          <cell r="H82">
            <v>16.154000000000003</v>
          </cell>
        </row>
        <row r="83">
          <cell r="A83" t="str">
            <v>22:Q3</v>
          </cell>
          <cell r="B83">
            <v>11.669</v>
          </cell>
          <cell r="C83">
            <v>0.32200000000000001</v>
          </cell>
          <cell r="D83">
            <v>1.524</v>
          </cell>
          <cell r="E83">
            <v>0.92500000000000004</v>
          </cell>
          <cell r="F83">
            <v>1.5740000000000001</v>
          </cell>
          <cell r="G83">
            <v>0.49099999999999999</v>
          </cell>
          <cell r="H83">
            <v>16.505000000000003</v>
          </cell>
        </row>
        <row r="84">
          <cell r="A84" t="str">
            <v>22:Q4</v>
          </cell>
          <cell r="B84">
            <v>11.923</v>
          </cell>
          <cell r="C84">
            <v>0.33600000000000002</v>
          </cell>
          <cell r="D84">
            <v>1.552</v>
          </cell>
          <cell r="E84">
            <v>0.98599999999999999</v>
          </cell>
          <cell r="F84">
            <v>1.595</v>
          </cell>
          <cell r="G84">
            <v>0.50700000000000001</v>
          </cell>
          <cell r="H84">
            <v>16.899000000000001</v>
          </cell>
        </row>
        <row r="85">
          <cell r="A85" t="str">
            <v>23:Q1</v>
          </cell>
          <cell r="B85">
            <v>12.044</v>
          </cell>
          <cell r="C85">
            <v>0.33900000000000002</v>
          </cell>
          <cell r="D85">
            <v>1.5620000000000001</v>
          </cell>
          <cell r="E85">
            <v>0.98599999999999999</v>
          </cell>
          <cell r="F85">
            <v>1.6040000000000001</v>
          </cell>
          <cell r="G85">
            <v>0.51200000000000001</v>
          </cell>
          <cell r="H85">
            <v>17.047000000000001</v>
          </cell>
        </row>
        <row r="86">
          <cell r="A86" t="str">
            <v>23:Q2</v>
          </cell>
          <cell r="B86">
            <v>12.013999999999999</v>
          </cell>
          <cell r="C86">
            <v>0.34</v>
          </cell>
          <cell r="D86">
            <v>1.5820000000000001</v>
          </cell>
          <cell r="E86">
            <v>1.0309999999999999</v>
          </cell>
          <cell r="F86">
            <v>1.569</v>
          </cell>
          <cell r="G86">
            <v>0.52700000000000002</v>
          </cell>
          <cell r="H86">
            <v>17.063000000000002</v>
          </cell>
        </row>
        <row r="87">
          <cell r="A87" t="str">
            <v>23:Q3</v>
          </cell>
          <cell r="B87">
            <v>12.14</v>
          </cell>
          <cell r="C87">
            <v>0.34899999999999998</v>
          </cell>
          <cell r="D87">
            <v>1.595</v>
          </cell>
          <cell r="E87">
            <v>1.079</v>
          </cell>
          <cell r="F87">
            <v>1.599</v>
          </cell>
          <cell r="G87">
            <v>0.52900000000000003</v>
          </cell>
          <cell r="H87">
            <v>17.291</v>
          </cell>
        </row>
        <row r="88">
          <cell r="A88" t="str">
            <v>23:Q4</v>
          </cell>
          <cell r="B88">
            <v>12.252000000000001</v>
          </cell>
          <cell r="C88">
            <v>0.36</v>
          </cell>
          <cell r="D88">
            <v>1.607</v>
          </cell>
          <cell r="E88">
            <v>1.129</v>
          </cell>
          <cell r="F88">
            <v>1.601</v>
          </cell>
          <cell r="G88">
            <v>0.55400000000000005</v>
          </cell>
          <cell r="H88">
            <v>17.502999999999997</v>
          </cell>
        </row>
        <row r="89">
          <cell r="A89" t="str">
            <v>24:Q1</v>
          </cell>
          <cell r="B89">
            <v>12.442</v>
          </cell>
          <cell r="C89">
            <v>0.376</v>
          </cell>
          <cell r="D89">
            <v>1.6160000000000001</v>
          </cell>
          <cell r="E89">
            <v>1.115</v>
          </cell>
          <cell r="F89">
            <v>1.595</v>
          </cell>
          <cell r="G89">
            <v>0.54300000000000004</v>
          </cell>
          <cell r="H89">
            <v>17.686999999999998</v>
          </cell>
        </row>
        <row r="90">
          <cell r="A90" t="str">
            <v>24:Q2</v>
          </cell>
          <cell r="B90">
            <v>12.519</v>
          </cell>
          <cell r="C90">
            <v>0.38</v>
          </cell>
          <cell r="D90">
            <v>1.6259999999999999</v>
          </cell>
          <cell r="E90">
            <v>1.1419999999999999</v>
          </cell>
          <cell r="F90">
            <v>1.585</v>
          </cell>
          <cell r="G90">
            <v>0.54400000000000004</v>
          </cell>
          <cell r="H90">
            <v>17.795999999999999</v>
          </cell>
        </row>
        <row r="91">
          <cell r="A91" t="str">
            <v>24:Q3</v>
          </cell>
          <cell r="B91">
            <v>12.593999999999999</v>
          </cell>
          <cell r="C91">
            <v>0.38700000000000001</v>
          </cell>
          <cell r="D91">
            <v>1.6439999999999999</v>
          </cell>
          <cell r="E91">
            <v>1.1659999999999999</v>
          </cell>
          <cell r="F91">
            <v>1.6060000000000001</v>
          </cell>
          <cell r="G91">
            <v>0.54600000000000004</v>
          </cell>
          <cell r="H91">
            <v>17.943000000000001</v>
          </cell>
        </row>
        <row r="92">
          <cell r="A92" t="str">
            <v>24:Q4</v>
          </cell>
          <cell r="B92">
            <v>12.605</v>
          </cell>
          <cell r="C92">
            <v>0.39600000000000002</v>
          </cell>
          <cell r="D92">
            <v>1.655</v>
          </cell>
          <cell r="E92">
            <v>1.2110000000000001</v>
          </cell>
          <cell r="F92">
            <v>1.615</v>
          </cell>
          <cell r="G92">
            <v>0.55400000000000005</v>
          </cell>
          <cell r="H92">
            <v>18.035999999999998</v>
          </cell>
        </row>
        <row r="93">
          <cell r="A93" t="str">
            <v>25:Q1</v>
          </cell>
          <cell r="B93">
            <v>12.804</v>
          </cell>
          <cell r="C93">
            <v>0.40200000000000002</v>
          </cell>
          <cell r="D93">
            <v>1.6419999999999999</v>
          </cell>
          <cell r="E93">
            <v>1.1819999999999999</v>
          </cell>
          <cell r="F93">
            <v>1.631</v>
          </cell>
          <cell r="G93">
            <v>0.54200000000000004</v>
          </cell>
          <cell r="H93">
            <v>18.202999999999999</v>
          </cell>
        </row>
        <row r="94">
          <cell r="A94" t="str">
            <v>25:Q2</v>
          </cell>
          <cell r="B94">
            <v>12.935</v>
          </cell>
          <cell r="C94">
            <v>0.41099999999999998</v>
          </cell>
          <cell r="D94">
            <v>1.655</v>
          </cell>
          <cell r="E94">
            <v>1.2090000000000001</v>
          </cell>
          <cell r="F94">
            <v>1.6379999999999999</v>
          </cell>
          <cell r="G94">
            <v>0.54</v>
          </cell>
          <cell r="H94">
            <v>18.387999999999998</v>
          </cell>
        </row>
        <row r="95">
          <cell r="A95" t="str">
            <v>25:Q3</v>
          </cell>
          <cell r="B95">
            <v>13.071999999999999</v>
          </cell>
          <cell r="C95">
            <v>0.42199999999999999</v>
          </cell>
          <cell r="D95">
            <v>1.655</v>
          </cell>
          <cell r="E95">
            <v>1.2330000000000001</v>
          </cell>
          <cell r="F95">
            <v>1.653</v>
          </cell>
          <cell r="G95">
            <v>0.55000000000000004</v>
          </cell>
          <cell r="H95">
            <v>18.584999999999997</v>
          </cell>
        </row>
        <row r="96">
          <cell r="A96" t="str">
            <v>25:Q4</v>
          </cell>
          <cell r="B96">
            <v>13.17</v>
          </cell>
          <cell r="C96">
            <v>0.43359999999999999</v>
          </cell>
          <cell r="D96">
            <v>1.667</v>
          </cell>
          <cell r="E96">
            <v>1.2769999999999999</v>
          </cell>
          <cell r="F96">
            <v>1.6639999999999999</v>
          </cell>
          <cell r="G96">
            <v>0.56410000000000005</v>
          </cell>
          <cell r="H96">
            <v>18.775700000000001</v>
          </cell>
        </row>
        <row r="97">
          <cell r="A97" t="str">
            <v>26:Q1</v>
          </cell>
          <cell r="B97">
            <v>13.191000000000001</v>
          </cell>
          <cell r="C97">
            <v>0.44600000000000001</v>
          </cell>
          <cell r="D97">
            <v>1.6850000000000001</v>
          </cell>
          <cell r="E97">
            <v>1.252</v>
          </cell>
          <cell r="F97">
            <v>1.6579999999999999</v>
          </cell>
          <cell r="G97">
            <v>0.56200000000000006</v>
          </cell>
          <cell r="H97">
            <v>18.794000000000004</v>
          </cell>
        </row>
      </sheetData>
      <sheetData sheetId="3" refreshError="1"/>
      <sheetData sheetId="4">
        <row r="1">
          <cell r="A1" t="str">
            <v>Number of Accounts by Loan Type</v>
          </cell>
        </row>
        <row r="2">
          <cell r="A2" t="str">
            <v>Millions</v>
          </cell>
        </row>
        <row r="3">
          <cell r="A3" t="str">
            <v>Return to Table of Contents</v>
          </cell>
        </row>
        <row r="4">
          <cell r="B4" t="str">
            <v>Auto Loan</v>
          </cell>
          <cell r="C4" t="str">
            <v>Credit Card</v>
          </cell>
          <cell r="D4" t="str">
            <v>Mortgage</v>
          </cell>
          <cell r="E4" t="str">
            <v>HE Revolving</v>
          </cell>
        </row>
        <row r="5">
          <cell r="A5">
            <v>37681</v>
          </cell>
          <cell r="B5">
            <v>73.510000000000005</v>
          </cell>
          <cell r="C5">
            <v>469.81</v>
          </cell>
          <cell r="D5">
            <v>79.540000000000006</v>
          </cell>
          <cell r="E5">
            <v>13.41</v>
          </cell>
        </row>
        <row r="6">
          <cell r="A6">
            <v>37773</v>
          </cell>
          <cell r="B6">
            <v>70.760000000000005</v>
          </cell>
          <cell r="C6">
            <v>468.94</v>
          </cell>
          <cell r="D6">
            <v>79.73</v>
          </cell>
          <cell r="E6">
            <v>14.22</v>
          </cell>
        </row>
        <row r="7">
          <cell r="A7">
            <v>37865</v>
          </cell>
          <cell r="B7">
            <v>75.94</v>
          </cell>
          <cell r="C7">
            <v>457.64</v>
          </cell>
          <cell r="D7">
            <v>79.34</v>
          </cell>
          <cell r="E7">
            <v>15.55</v>
          </cell>
        </row>
        <row r="8">
          <cell r="A8">
            <v>37956</v>
          </cell>
          <cell r="B8">
            <v>77.64</v>
          </cell>
          <cell r="C8">
            <v>452.71</v>
          </cell>
          <cell r="D8">
            <v>83.42</v>
          </cell>
          <cell r="E8">
            <v>16.100000000000001</v>
          </cell>
        </row>
        <row r="9">
          <cell r="A9">
            <v>38047</v>
          </cell>
          <cell r="B9">
            <v>79.22</v>
          </cell>
          <cell r="C9">
            <v>449.62</v>
          </cell>
          <cell r="D9">
            <v>83.95</v>
          </cell>
          <cell r="E9">
            <v>16.73</v>
          </cell>
        </row>
        <row r="10">
          <cell r="A10">
            <v>38139</v>
          </cell>
          <cell r="B10">
            <v>80.73</v>
          </cell>
          <cell r="C10">
            <v>458.26</v>
          </cell>
          <cell r="D10">
            <v>84.74</v>
          </cell>
          <cell r="E10">
            <v>17.66</v>
          </cell>
        </row>
        <row r="11">
          <cell r="A11">
            <v>38231</v>
          </cell>
          <cell r="B11">
            <v>81.7</v>
          </cell>
          <cell r="C11">
            <v>447.07</v>
          </cell>
          <cell r="D11">
            <v>84.87</v>
          </cell>
          <cell r="E11">
            <v>19.75</v>
          </cell>
        </row>
        <row r="12">
          <cell r="A12">
            <v>38322</v>
          </cell>
          <cell r="B12">
            <v>78.48</v>
          </cell>
          <cell r="C12">
            <v>448.43</v>
          </cell>
          <cell r="D12">
            <v>85.3</v>
          </cell>
          <cell r="E12">
            <v>20.84</v>
          </cell>
        </row>
        <row r="13">
          <cell r="A13">
            <v>38412</v>
          </cell>
          <cell r="B13">
            <v>78.5</v>
          </cell>
          <cell r="C13">
            <v>451.95</v>
          </cell>
          <cell r="D13">
            <v>85.56</v>
          </cell>
          <cell r="E13">
            <v>21.91</v>
          </cell>
        </row>
        <row r="14">
          <cell r="A14">
            <v>38504</v>
          </cell>
          <cell r="B14">
            <v>82.38</v>
          </cell>
          <cell r="C14">
            <v>450.14</v>
          </cell>
          <cell r="D14">
            <v>86.3</v>
          </cell>
          <cell r="E14">
            <v>22.59</v>
          </cell>
        </row>
        <row r="15">
          <cell r="A15">
            <v>38596</v>
          </cell>
          <cell r="B15">
            <v>83.63</v>
          </cell>
          <cell r="C15">
            <v>452.34</v>
          </cell>
          <cell r="D15">
            <v>87.15</v>
          </cell>
          <cell r="E15">
            <v>22.99</v>
          </cell>
        </row>
        <row r="16">
          <cell r="A16">
            <v>38687</v>
          </cell>
          <cell r="B16">
            <v>83.41</v>
          </cell>
          <cell r="C16">
            <v>455.91</v>
          </cell>
          <cell r="D16">
            <v>86.98</v>
          </cell>
          <cell r="E16">
            <v>23.93</v>
          </cell>
        </row>
        <row r="17">
          <cell r="A17">
            <v>38777</v>
          </cell>
          <cell r="B17">
            <v>83.97</v>
          </cell>
          <cell r="C17">
            <v>458.41</v>
          </cell>
          <cell r="D17">
            <v>88.58</v>
          </cell>
          <cell r="E17">
            <v>24.24</v>
          </cell>
        </row>
        <row r="18">
          <cell r="A18">
            <v>38869</v>
          </cell>
          <cell r="B18">
            <v>84.3</v>
          </cell>
          <cell r="C18">
            <v>460.35</v>
          </cell>
          <cell r="D18">
            <v>90.97</v>
          </cell>
          <cell r="E18">
            <v>24.23</v>
          </cell>
        </row>
        <row r="19">
          <cell r="A19">
            <v>38961</v>
          </cell>
          <cell r="B19">
            <v>85.54</v>
          </cell>
          <cell r="C19">
            <v>454.64</v>
          </cell>
          <cell r="D19">
            <v>92.53</v>
          </cell>
          <cell r="E19">
            <v>24.14</v>
          </cell>
        </row>
        <row r="20">
          <cell r="A20">
            <v>39052</v>
          </cell>
          <cell r="B20">
            <v>86.15</v>
          </cell>
          <cell r="C20">
            <v>451.28</v>
          </cell>
          <cell r="D20">
            <v>93.25</v>
          </cell>
          <cell r="E20">
            <v>23.97</v>
          </cell>
        </row>
        <row r="21">
          <cell r="A21">
            <v>39142</v>
          </cell>
          <cell r="B21">
            <v>86.2</v>
          </cell>
          <cell r="C21">
            <v>444.88</v>
          </cell>
          <cell r="D21">
            <v>94.36</v>
          </cell>
          <cell r="E21">
            <v>23.92</v>
          </cell>
        </row>
        <row r="22">
          <cell r="A22">
            <v>39234</v>
          </cell>
          <cell r="B22">
            <v>87.09</v>
          </cell>
          <cell r="C22">
            <v>474.74</v>
          </cell>
          <cell r="D22">
            <v>95.92</v>
          </cell>
          <cell r="E22">
            <v>24.05</v>
          </cell>
        </row>
        <row r="23">
          <cell r="A23">
            <v>39326</v>
          </cell>
          <cell r="B23">
            <v>87.64</v>
          </cell>
          <cell r="C23">
            <v>478.86</v>
          </cell>
          <cell r="D23">
            <v>96.76</v>
          </cell>
          <cell r="E23">
            <v>24.06</v>
          </cell>
        </row>
        <row r="24">
          <cell r="A24">
            <v>39417</v>
          </cell>
          <cell r="B24">
            <v>88.08</v>
          </cell>
          <cell r="C24">
            <v>481.44</v>
          </cell>
          <cell r="D24">
            <v>97.65</v>
          </cell>
          <cell r="E24">
            <v>24.24</v>
          </cell>
        </row>
        <row r="25">
          <cell r="A25">
            <v>39508</v>
          </cell>
          <cell r="B25">
            <v>87.2</v>
          </cell>
          <cell r="C25">
            <v>474.57</v>
          </cell>
          <cell r="D25">
            <v>98.14</v>
          </cell>
          <cell r="E25">
            <v>24.24</v>
          </cell>
        </row>
        <row r="26">
          <cell r="A26">
            <v>39600</v>
          </cell>
          <cell r="B26">
            <v>87.36</v>
          </cell>
          <cell r="C26">
            <v>496.12</v>
          </cell>
          <cell r="D26">
            <v>98</v>
          </cell>
          <cell r="E26">
            <v>24.16</v>
          </cell>
        </row>
        <row r="27">
          <cell r="A27">
            <v>39692</v>
          </cell>
          <cell r="B27">
            <v>87.12</v>
          </cell>
          <cell r="C27">
            <v>492.19</v>
          </cell>
          <cell r="D27">
            <v>97.66</v>
          </cell>
          <cell r="E27">
            <v>24.12</v>
          </cell>
        </row>
        <row r="28">
          <cell r="A28">
            <v>39783</v>
          </cell>
          <cell r="B28">
            <v>86.27</v>
          </cell>
          <cell r="C28">
            <v>472.17</v>
          </cell>
          <cell r="D28">
            <v>97.02</v>
          </cell>
          <cell r="E28">
            <v>24</v>
          </cell>
        </row>
        <row r="29">
          <cell r="A29">
            <v>39873</v>
          </cell>
          <cell r="B29">
            <v>84.9</v>
          </cell>
          <cell r="C29">
            <v>434.25</v>
          </cell>
          <cell r="D29">
            <v>95.45</v>
          </cell>
          <cell r="E29">
            <v>23.74</v>
          </cell>
        </row>
        <row r="30">
          <cell r="A30">
            <v>39965</v>
          </cell>
          <cell r="B30">
            <v>83.3</v>
          </cell>
          <cell r="C30">
            <v>412.38</v>
          </cell>
          <cell r="D30">
            <v>94.44</v>
          </cell>
          <cell r="E30">
            <v>23.32</v>
          </cell>
        </row>
        <row r="31">
          <cell r="A31">
            <v>40057</v>
          </cell>
          <cell r="B31">
            <v>83.32</v>
          </cell>
          <cell r="C31">
            <v>401.77</v>
          </cell>
          <cell r="D31">
            <v>93.03</v>
          </cell>
          <cell r="E31">
            <v>22.93</v>
          </cell>
        </row>
        <row r="32">
          <cell r="A32">
            <v>40148</v>
          </cell>
          <cell r="B32">
            <v>82.58</v>
          </cell>
          <cell r="C32">
            <v>394.27</v>
          </cell>
          <cell r="D32">
            <v>92.12</v>
          </cell>
          <cell r="E32">
            <v>22.48</v>
          </cell>
        </row>
        <row r="33">
          <cell r="A33">
            <v>40238</v>
          </cell>
          <cell r="B33">
            <v>81.400000000000006</v>
          </cell>
          <cell r="C33">
            <v>385.86</v>
          </cell>
          <cell r="D33">
            <v>92.01</v>
          </cell>
          <cell r="E33">
            <v>22.11</v>
          </cell>
        </row>
        <row r="34">
          <cell r="A34">
            <v>40330</v>
          </cell>
          <cell r="B34">
            <v>80.52</v>
          </cell>
          <cell r="C34">
            <v>380.54</v>
          </cell>
          <cell r="D34">
            <v>90.75</v>
          </cell>
          <cell r="E34">
            <v>21.83</v>
          </cell>
        </row>
        <row r="35">
          <cell r="A35">
            <v>40422</v>
          </cell>
          <cell r="B35">
            <v>80.8</v>
          </cell>
          <cell r="C35">
            <v>377.9</v>
          </cell>
          <cell r="D35">
            <v>89.92</v>
          </cell>
          <cell r="E35">
            <v>21.53</v>
          </cell>
        </row>
        <row r="36">
          <cell r="A36">
            <v>40513</v>
          </cell>
          <cell r="B36">
            <v>80.87</v>
          </cell>
          <cell r="C36">
            <v>380.07</v>
          </cell>
          <cell r="D36">
            <v>88.54</v>
          </cell>
          <cell r="E36">
            <v>21.12</v>
          </cell>
        </row>
        <row r="37">
          <cell r="A37">
            <v>40603</v>
          </cell>
          <cell r="B37">
            <v>79.75</v>
          </cell>
          <cell r="C37">
            <v>379.34</v>
          </cell>
          <cell r="D37">
            <v>88.82</v>
          </cell>
          <cell r="E37">
            <v>20.29</v>
          </cell>
        </row>
        <row r="38">
          <cell r="A38" t="str">
            <v>11:Q2</v>
          </cell>
          <cell r="B38">
            <v>79.739999999999995</v>
          </cell>
          <cell r="C38">
            <v>389.17</v>
          </cell>
          <cell r="D38">
            <v>88.43</v>
          </cell>
          <cell r="E38">
            <v>20.22</v>
          </cell>
        </row>
        <row r="39">
          <cell r="A39" t="str">
            <v>11:Q3</v>
          </cell>
          <cell r="B39">
            <v>80.849999999999994</v>
          </cell>
          <cell r="C39">
            <v>383.27</v>
          </cell>
          <cell r="D39">
            <v>87.3</v>
          </cell>
          <cell r="E39">
            <v>20.51</v>
          </cell>
        </row>
        <row r="40">
          <cell r="A40" t="str">
            <v>11:Q4</v>
          </cell>
          <cell r="B40">
            <v>80.61</v>
          </cell>
          <cell r="C40">
            <v>386.2</v>
          </cell>
          <cell r="D40">
            <v>86.11</v>
          </cell>
          <cell r="E40">
            <v>20.260000000000002</v>
          </cell>
        </row>
        <row r="41">
          <cell r="A41" t="str">
            <v>12:Q1</v>
          </cell>
          <cell r="B41">
            <v>80.08</v>
          </cell>
          <cell r="C41">
            <v>386.25</v>
          </cell>
          <cell r="D41">
            <v>85.34</v>
          </cell>
          <cell r="E41">
            <v>19.89</v>
          </cell>
        </row>
        <row r="42">
          <cell r="A42" t="str">
            <v>12:Q2</v>
          </cell>
          <cell r="B42">
            <v>80.78</v>
          </cell>
          <cell r="C42">
            <v>383.36</v>
          </cell>
          <cell r="D42">
            <v>84.93</v>
          </cell>
          <cell r="E42">
            <v>19.14</v>
          </cell>
        </row>
        <row r="43">
          <cell r="A43" t="str">
            <v>12:Q3</v>
          </cell>
          <cell r="B43">
            <v>81.75</v>
          </cell>
          <cell r="C43">
            <v>382.12</v>
          </cell>
          <cell r="D43">
            <v>83.56</v>
          </cell>
          <cell r="E43">
            <v>18.57</v>
          </cell>
        </row>
        <row r="44">
          <cell r="A44" t="str">
            <v>12:Q4</v>
          </cell>
          <cell r="B44">
            <v>82.72</v>
          </cell>
          <cell r="C44">
            <v>383.4</v>
          </cell>
          <cell r="D44">
            <v>83.23</v>
          </cell>
          <cell r="E44">
            <v>18.66</v>
          </cell>
        </row>
        <row r="45">
          <cell r="A45" t="str">
            <v>13:Q1</v>
          </cell>
          <cell r="B45">
            <v>83.22</v>
          </cell>
          <cell r="C45">
            <v>383.08</v>
          </cell>
          <cell r="D45">
            <v>81.819999999999993</v>
          </cell>
          <cell r="E45">
            <v>18.52</v>
          </cell>
        </row>
        <row r="46">
          <cell r="A46" t="str">
            <v>13:Q2</v>
          </cell>
          <cell r="B46">
            <v>84.03</v>
          </cell>
          <cell r="C46">
            <v>388.87</v>
          </cell>
          <cell r="D46">
            <v>80.56</v>
          </cell>
          <cell r="E46">
            <v>18.14</v>
          </cell>
        </row>
        <row r="47">
          <cell r="A47" t="str">
            <v>13:Q3</v>
          </cell>
          <cell r="B47">
            <v>85.85</v>
          </cell>
          <cell r="C47">
            <v>391.24</v>
          </cell>
          <cell r="D47">
            <v>80.86</v>
          </cell>
          <cell r="E47">
            <v>17.86</v>
          </cell>
        </row>
        <row r="48">
          <cell r="A48" t="str">
            <v>13:Q4</v>
          </cell>
          <cell r="B48">
            <v>87.03</v>
          </cell>
          <cell r="C48">
            <v>399.01</v>
          </cell>
          <cell r="D48">
            <v>81.599999999999994</v>
          </cell>
          <cell r="E48">
            <v>17.71</v>
          </cell>
        </row>
        <row r="49">
          <cell r="A49" t="str">
            <v>14:Q1</v>
          </cell>
          <cell r="B49">
            <v>87.35</v>
          </cell>
          <cell r="C49">
            <v>401.54</v>
          </cell>
          <cell r="D49">
            <v>82.16</v>
          </cell>
          <cell r="E49">
            <v>17.62</v>
          </cell>
        </row>
        <row r="50">
          <cell r="A50" t="str">
            <v>14:Q2</v>
          </cell>
          <cell r="B50">
            <v>89.2</v>
          </cell>
          <cell r="C50">
            <v>405.89</v>
          </cell>
          <cell r="D50">
            <v>81.08</v>
          </cell>
          <cell r="E50">
            <v>17.45</v>
          </cell>
        </row>
        <row r="51">
          <cell r="A51" t="str">
            <v>14:Q3</v>
          </cell>
          <cell r="B51">
            <v>90.86</v>
          </cell>
          <cell r="C51">
            <v>410.54</v>
          </cell>
          <cell r="D51">
            <v>81.14</v>
          </cell>
          <cell r="E51">
            <v>17.309999999999999</v>
          </cell>
        </row>
        <row r="52">
          <cell r="A52" t="str">
            <v>14:Q4</v>
          </cell>
          <cell r="B52">
            <v>92.69</v>
          </cell>
          <cell r="C52">
            <v>412.99</v>
          </cell>
          <cell r="D52">
            <v>81.430000000000007</v>
          </cell>
          <cell r="E52">
            <v>17.260000000000002</v>
          </cell>
        </row>
        <row r="53">
          <cell r="A53" t="str">
            <v>15:Q1</v>
          </cell>
          <cell r="B53">
            <v>93.52</v>
          </cell>
          <cell r="C53">
            <v>415.77</v>
          </cell>
          <cell r="D53">
            <v>81.260000000000005</v>
          </cell>
          <cell r="E53">
            <v>17.07</v>
          </cell>
        </row>
        <row r="54">
          <cell r="A54" t="str">
            <v>15:Q2</v>
          </cell>
          <cell r="B54">
            <v>96.23</v>
          </cell>
          <cell r="C54">
            <v>421.82</v>
          </cell>
          <cell r="D54">
            <v>80.22</v>
          </cell>
          <cell r="E54">
            <v>17.010000000000002</v>
          </cell>
        </row>
        <row r="55">
          <cell r="A55" t="str">
            <v>15:Q3</v>
          </cell>
          <cell r="B55">
            <v>98.55</v>
          </cell>
          <cell r="C55">
            <v>426.63</v>
          </cell>
          <cell r="D55">
            <v>80.849999999999994</v>
          </cell>
          <cell r="E55">
            <v>16.8</v>
          </cell>
        </row>
        <row r="56">
          <cell r="A56" t="str">
            <v>15:Q4</v>
          </cell>
          <cell r="B56">
            <v>100.24</v>
          </cell>
          <cell r="C56">
            <v>424.35</v>
          </cell>
          <cell r="D56">
            <v>80.61</v>
          </cell>
          <cell r="E56">
            <v>16.68</v>
          </cell>
        </row>
        <row r="57">
          <cell r="A57" t="str">
            <v>16:Q1</v>
          </cell>
          <cell r="B57">
            <v>100.47</v>
          </cell>
          <cell r="C57">
            <v>435.61</v>
          </cell>
          <cell r="D57">
            <v>81.06</v>
          </cell>
          <cell r="E57">
            <v>16.62</v>
          </cell>
        </row>
        <row r="58">
          <cell r="A58" t="str">
            <v>16:Q2</v>
          </cell>
          <cell r="B58">
            <v>103.08</v>
          </cell>
          <cell r="C58">
            <v>440.98</v>
          </cell>
          <cell r="D58">
            <v>80.400000000000006</v>
          </cell>
          <cell r="E58">
            <v>16.59</v>
          </cell>
        </row>
        <row r="59">
          <cell r="A59" t="str">
            <v>16:Q3</v>
          </cell>
          <cell r="B59">
            <v>104.98</v>
          </cell>
          <cell r="C59">
            <v>445.04</v>
          </cell>
          <cell r="D59">
            <v>79.680000000000007</v>
          </cell>
          <cell r="E59">
            <v>16.47</v>
          </cell>
        </row>
        <row r="60">
          <cell r="A60" t="str">
            <v>16:Q4</v>
          </cell>
          <cell r="B60">
            <v>106.21</v>
          </cell>
          <cell r="C60">
            <v>453.07</v>
          </cell>
          <cell r="D60">
            <v>79.900000000000006</v>
          </cell>
          <cell r="E60">
            <v>16.260000000000002</v>
          </cell>
        </row>
        <row r="61">
          <cell r="A61" t="str">
            <v>17:Q1</v>
          </cell>
          <cell r="B61">
            <v>106.66</v>
          </cell>
          <cell r="C61">
            <v>454.58</v>
          </cell>
          <cell r="D61">
            <v>80.11</v>
          </cell>
          <cell r="E61">
            <v>15.89</v>
          </cell>
        </row>
        <row r="62">
          <cell r="A62" t="str">
            <v>17:Q2</v>
          </cell>
          <cell r="B62">
            <v>108.11</v>
          </cell>
          <cell r="C62">
            <v>459.31</v>
          </cell>
          <cell r="D62">
            <v>80.08</v>
          </cell>
          <cell r="E62">
            <v>15.86</v>
          </cell>
        </row>
        <row r="63">
          <cell r="A63" t="str">
            <v>17:Q3</v>
          </cell>
          <cell r="B63">
            <v>109.69</v>
          </cell>
          <cell r="C63">
            <v>465.97</v>
          </cell>
          <cell r="D63">
            <v>79.650000000000006</v>
          </cell>
          <cell r="E63">
            <v>15.76</v>
          </cell>
        </row>
        <row r="64">
          <cell r="A64" t="str">
            <v>17:Q4</v>
          </cell>
          <cell r="B64">
            <v>110.19</v>
          </cell>
          <cell r="C64">
            <v>468.76</v>
          </cell>
          <cell r="D64">
            <v>79.989999999999995</v>
          </cell>
          <cell r="E64">
            <v>15.68</v>
          </cell>
        </row>
        <row r="65">
          <cell r="A65" t="str">
            <v>18:Q1</v>
          </cell>
          <cell r="B65">
            <v>110.9</v>
          </cell>
          <cell r="C65">
            <v>466.88</v>
          </cell>
          <cell r="D65">
            <v>79.900000000000006</v>
          </cell>
          <cell r="E65">
            <v>15.76</v>
          </cell>
        </row>
        <row r="66">
          <cell r="A66" t="str">
            <v>18:Q2</v>
          </cell>
          <cell r="B66">
            <v>111.51</v>
          </cell>
          <cell r="C66">
            <v>469.64</v>
          </cell>
          <cell r="D66">
            <v>79.72</v>
          </cell>
          <cell r="E66">
            <v>15.62</v>
          </cell>
        </row>
        <row r="67">
          <cell r="A67" t="str">
            <v>18:Q3</v>
          </cell>
          <cell r="B67">
            <v>113.12</v>
          </cell>
          <cell r="C67">
            <v>474.24</v>
          </cell>
          <cell r="D67">
            <v>80.260000000000005</v>
          </cell>
          <cell r="E67">
            <v>15.45</v>
          </cell>
        </row>
        <row r="68">
          <cell r="A68" t="str">
            <v>18:Q4</v>
          </cell>
          <cell r="B68">
            <v>113.35</v>
          </cell>
          <cell r="C68">
            <v>479.23</v>
          </cell>
          <cell r="D68">
            <v>79.349999999999994</v>
          </cell>
          <cell r="E68">
            <v>15.41</v>
          </cell>
        </row>
        <row r="69">
          <cell r="A69" t="str">
            <v>19:Q1</v>
          </cell>
          <cell r="B69">
            <v>113.91</v>
          </cell>
          <cell r="C69">
            <v>482.7</v>
          </cell>
          <cell r="D69">
            <v>79.92</v>
          </cell>
          <cell r="E69">
            <v>15.31</v>
          </cell>
        </row>
        <row r="70">
          <cell r="A70" t="str">
            <v>19:Q2</v>
          </cell>
          <cell r="B70">
            <v>114.66</v>
          </cell>
          <cell r="C70">
            <v>486.5</v>
          </cell>
          <cell r="D70">
            <v>80.72</v>
          </cell>
          <cell r="E70">
            <v>15.26</v>
          </cell>
        </row>
        <row r="71">
          <cell r="A71" t="str">
            <v>19:Q3</v>
          </cell>
          <cell r="B71">
            <v>114.87</v>
          </cell>
          <cell r="C71">
            <v>488.92</v>
          </cell>
          <cell r="D71">
            <v>80.77</v>
          </cell>
          <cell r="E71">
            <v>15.14</v>
          </cell>
        </row>
        <row r="72">
          <cell r="A72" t="str">
            <v>19:Q4</v>
          </cell>
          <cell r="B72">
            <v>115.98</v>
          </cell>
          <cell r="C72">
            <v>507.94</v>
          </cell>
          <cell r="D72">
            <v>80.94</v>
          </cell>
          <cell r="E72">
            <v>14.99</v>
          </cell>
        </row>
        <row r="73">
          <cell r="A73" t="str">
            <v>20:Q1</v>
          </cell>
          <cell r="B73">
            <v>116.43</v>
          </cell>
          <cell r="C73">
            <v>511.41</v>
          </cell>
          <cell r="D73">
            <v>81.099999999999994</v>
          </cell>
          <cell r="E73">
            <v>14.82</v>
          </cell>
        </row>
        <row r="74">
          <cell r="A74" t="str">
            <v>20:Q2</v>
          </cell>
          <cell r="B74">
            <v>114.73</v>
          </cell>
          <cell r="C74">
            <v>504.74</v>
          </cell>
          <cell r="D74">
            <v>80.77</v>
          </cell>
          <cell r="E74">
            <v>14.55</v>
          </cell>
        </row>
        <row r="75">
          <cell r="A75" t="str">
            <v>20:Q3</v>
          </cell>
          <cell r="B75">
            <v>114.49</v>
          </cell>
          <cell r="C75">
            <v>505.54</v>
          </cell>
          <cell r="D75">
            <v>80.44</v>
          </cell>
          <cell r="E75">
            <v>14.13</v>
          </cell>
        </row>
        <row r="76">
          <cell r="A76" t="str">
            <v>20:Q4</v>
          </cell>
          <cell r="B76">
            <v>114.13</v>
          </cell>
          <cell r="C76">
            <v>505.62</v>
          </cell>
          <cell r="D76">
            <v>80.599999999999994</v>
          </cell>
          <cell r="E76">
            <v>13.75</v>
          </cell>
        </row>
        <row r="77">
          <cell r="A77" t="str">
            <v>21:Q1</v>
          </cell>
          <cell r="B77">
            <v>113.57</v>
          </cell>
          <cell r="C77">
            <v>505.67</v>
          </cell>
          <cell r="D77">
            <v>80.41</v>
          </cell>
          <cell r="E77">
            <v>13.4</v>
          </cell>
        </row>
        <row r="78">
          <cell r="A78" t="str">
            <v>21:Q2</v>
          </cell>
          <cell r="B78">
            <v>112.78</v>
          </cell>
          <cell r="C78">
            <v>511.61</v>
          </cell>
          <cell r="D78">
            <v>80.78</v>
          </cell>
          <cell r="E78">
            <v>13.07</v>
          </cell>
        </row>
        <row r="79">
          <cell r="A79" t="str">
            <v>21:Q3</v>
          </cell>
          <cell r="B79">
            <v>112.02</v>
          </cell>
          <cell r="C79">
            <v>519.96</v>
          </cell>
          <cell r="D79">
            <v>80.75</v>
          </cell>
          <cell r="E79">
            <v>12.81</v>
          </cell>
        </row>
        <row r="80">
          <cell r="A80" t="str">
            <v>21:Q4</v>
          </cell>
          <cell r="B80">
            <v>111.02</v>
          </cell>
          <cell r="C80">
            <v>531.54</v>
          </cell>
          <cell r="D80">
            <v>80.959999999999994</v>
          </cell>
          <cell r="E80">
            <v>12.75</v>
          </cell>
        </row>
        <row r="81">
          <cell r="A81" t="str">
            <v>22:Q1</v>
          </cell>
          <cell r="B81">
            <v>109.68</v>
          </cell>
          <cell r="C81">
            <v>537.11</v>
          </cell>
          <cell r="D81">
            <v>81.510000000000005</v>
          </cell>
          <cell r="E81">
            <v>12.69</v>
          </cell>
        </row>
        <row r="82">
          <cell r="A82" t="str">
            <v>22:Q2</v>
          </cell>
          <cell r="B82">
            <v>109.02</v>
          </cell>
          <cell r="C82">
            <v>549.87</v>
          </cell>
          <cell r="D82">
            <v>81.37</v>
          </cell>
          <cell r="E82">
            <v>12.81</v>
          </cell>
        </row>
        <row r="83">
          <cell r="A83" t="str">
            <v>22:Q3</v>
          </cell>
          <cell r="B83">
            <v>105.33</v>
          </cell>
          <cell r="C83">
            <v>555.36</v>
          </cell>
          <cell r="D83">
            <v>82.13</v>
          </cell>
          <cell r="E83">
            <v>12.89</v>
          </cell>
        </row>
        <row r="84">
          <cell r="A84" t="str">
            <v>22:Q4</v>
          </cell>
          <cell r="B84">
            <v>107.77</v>
          </cell>
          <cell r="C84">
            <v>564.5</v>
          </cell>
          <cell r="D84">
            <v>83.42</v>
          </cell>
          <cell r="E84">
            <v>13.12</v>
          </cell>
        </row>
        <row r="85">
          <cell r="A85" t="str">
            <v>23:Q1</v>
          </cell>
          <cell r="B85">
            <v>107.59</v>
          </cell>
          <cell r="C85">
            <v>572.87</v>
          </cell>
          <cell r="D85">
            <v>84</v>
          </cell>
          <cell r="E85">
            <v>13.16</v>
          </cell>
        </row>
        <row r="86">
          <cell r="A86" t="str">
            <v>23:Q2</v>
          </cell>
          <cell r="B86">
            <v>107.77</v>
          </cell>
          <cell r="C86">
            <v>578.35</v>
          </cell>
          <cell r="D86">
            <v>83.62</v>
          </cell>
          <cell r="E86">
            <v>13.09</v>
          </cell>
        </row>
        <row r="87">
          <cell r="A87" t="str">
            <v>23:Q3</v>
          </cell>
          <cell r="B87">
            <v>107.45</v>
          </cell>
          <cell r="C87">
            <v>589.63</v>
          </cell>
          <cell r="D87">
            <v>83.96</v>
          </cell>
          <cell r="E87">
            <v>13.07</v>
          </cell>
        </row>
        <row r="88">
          <cell r="A88" t="str">
            <v>23:Q4</v>
          </cell>
          <cell r="B88">
            <v>107.79</v>
          </cell>
          <cell r="C88">
            <v>594.75</v>
          </cell>
          <cell r="D88">
            <v>84.17</v>
          </cell>
          <cell r="E88">
            <v>13.12</v>
          </cell>
        </row>
        <row r="89">
          <cell r="A89" t="str">
            <v>24:Q1</v>
          </cell>
          <cell r="B89">
            <v>108.05</v>
          </cell>
          <cell r="C89">
            <v>596.58000000000004</v>
          </cell>
          <cell r="D89">
            <v>84.94</v>
          </cell>
          <cell r="E89">
            <v>13.13</v>
          </cell>
        </row>
        <row r="90">
          <cell r="A90" t="str">
            <v>24:Q2</v>
          </cell>
          <cell r="B90">
            <v>108.14</v>
          </cell>
          <cell r="C90">
            <v>599.1</v>
          </cell>
          <cell r="D90">
            <v>85.35</v>
          </cell>
          <cell r="E90">
            <v>13.08</v>
          </cell>
        </row>
        <row r="91">
          <cell r="A91" t="str">
            <v>24:Q3</v>
          </cell>
          <cell r="B91">
            <v>108.68</v>
          </cell>
          <cell r="C91">
            <v>600.53</v>
          </cell>
          <cell r="D91">
            <v>84.94</v>
          </cell>
          <cell r="E91">
            <v>13.16</v>
          </cell>
        </row>
        <row r="92">
          <cell r="A92" t="str">
            <v>24:Q4</v>
          </cell>
          <cell r="B92">
            <v>109.11</v>
          </cell>
          <cell r="C92">
            <v>617.41</v>
          </cell>
          <cell r="D92">
            <v>85.1</v>
          </cell>
          <cell r="E92">
            <v>13.16</v>
          </cell>
        </row>
        <row r="93">
          <cell r="A93" t="str">
            <v>25:Q1</v>
          </cell>
          <cell r="B93">
            <v>108.11</v>
          </cell>
          <cell r="C93">
            <v>631.39</v>
          </cell>
          <cell r="D93">
            <v>85.78</v>
          </cell>
          <cell r="E93">
            <v>13.14</v>
          </cell>
        </row>
        <row r="94">
          <cell r="A94" t="str">
            <v>25:Q2</v>
          </cell>
          <cell r="B94">
            <v>108.13</v>
          </cell>
          <cell r="C94">
            <v>636.03</v>
          </cell>
          <cell r="D94">
            <v>86.47</v>
          </cell>
          <cell r="E94">
            <v>13.18</v>
          </cell>
        </row>
        <row r="95">
          <cell r="A95" t="str">
            <v>25:Q3</v>
          </cell>
          <cell r="B95">
            <v>105.89</v>
          </cell>
          <cell r="C95">
            <v>642.30999999999995</v>
          </cell>
          <cell r="D95">
            <v>86.67</v>
          </cell>
          <cell r="E95">
            <v>13.1</v>
          </cell>
        </row>
        <row r="96">
          <cell r="A96" t="str">
            <v>25:Q4</v>
          </cell>
          <cell r="B96">
            <v>107.58</v>
          </cell>
          <cell r="C96">
            <v>648.1</v>
          </cell>
          <cell r="D96">
            <v>86.94</v>
          </cell>
          <cell r="E96">
            <v>13.19</v>
          </cell>
        </row>
        <row r="97">
          <cell r="A97" t="str">
            <v>26:Q1</v>
          </cell>
          <cell r="B97">
            <v>108.14</v>
          </cell>
          <cell r="C97">
            <v>647.96</v>
          </cell>
          <cell r="D97">
            <v>86.97</v>
          </cell>
          <cell r="E97">
            <v>13.23</v>
          </cell>
        </row>
      </sheetData>
      <sheetData sheetId="5" refreshError="1"/>
      <sheetData sheetId="6">
        <row r="1">
          <cell r="A1" t="str">
            <v>Total Number of New and Closed Accounts and Consumer Credit Inquiries</v>
          </cell>
        </row>
        <row r="2">
          <cell r="A2" t="str">
            <v>Millions</v>
          </cell>
        </row>
        <row r="3">
          <cell r="A3" t="str">
            <v>Return to Table of Contents</v>
          </cell>
        </row>
        <row r="4">
          <cell r="B4" t="str">
            <v>inquiry within 6 mo</v>
          </cell>
          <cell r="C4" t="str">
            <v>closed within 12 mo</v>
          </cell>
          <cell r="D4" t="str">
            <v>open within 12 mo</v>
          </cell>
        </row>
        <row r="5">
          <cell r="A5" t="str">
            <v>03:Q1</v>
          </cell>
          <cell r="B5">
            <v>218.76</v>
          </cell>
          <cell r="C5">
            <v>275.44</v>
          </cell>
          <cell r="D5">
            <v>235.03</v>
          </cell>
        </row>
        <row r="6">
          <cell r="A6" t="str">
            <v>03:Q2</v>
          </cell>
          <cell r="B6">
            <v>229.13</v>
          </cell>
          <cell r="C6">
            <v>289.37</v>
          </cell>
          <cell r="D6">
            <v>235.6</v>
          </cell>
        </row>
        <row r="7">
          <cell r="A7" t="str">
            <v>03:Q3</v>
          </cell>
          <cell r="B7">
            <v>239.41</v>
          </cell>
          <cell r="C7">
            <v>289.66000000000003</v>
          </cell>
          <cell r="D7">
            <v>241.85</v>
          </cell>
        </row>
        <row r="8">
          <cell r="A8" t="str">
            <v>03:Q4</v>
          </cell>
          <cell r="B8">
            <v>227.89</v>
          </cell>
          <cell r="C8">
            <v>307.37</v>
          </cell>
          <cell r="D8">
            <v>245.3</v>
          </cell>
        </row>
        <row r="9">
          <cell r="A9" t="str">
            <v>04:Q1</v>
          </cell>
          <cell r="B9">
            <v>219.86</v>
          </cell>
          <cell r="C9">
            <v>284.14999999999998</v>
          </cell>
          <cell r="D9">
            <v>247.11</v>
          </cell>
        </row>
        <row r="10">
          <cell r="A10" t="str">
            <v>04:Q2</v>
          </cell>
          <cell r="B10">
            <v>228.86</v>
          </cell>
          <cell r="C10">
            <v>257.18</v>
          </cell>
          <cell r="D10">
            <v>239.6</v>
          </cell>
        </row>
        <row r="11">
          <cell r="A11" t="str">
            <v>04:Q3</v>
          </cell>
          <cell r="B11">
            <v>234.52</v>
          </cell>
          <cell r="C11">
            <v>243.7</v>
          </cell>
          <cell r="D11">
            <v>231.76</v>
          </cell>
        </row>
        <row r="12">
          <cell r="A12" t="str">
            <v>04:Q4</v>
          </cell>
          <cell r="B12">
            <v>231.69</v>
          </cell>
          <cell r="C12">
            <v>226.02</v>
          </cell>
          <cell r="D12">
            <v>239.48</v>
          </cell>
        </row>
        <row r="13">
          <cell r="A13" t="str">
            <v>05:Q1</v>
          </cell>
          <cell r="B13">
            <v>222.89</v>
          </cell>
          <cell r="C13">
            <v>225.12</v>
          </cell>
          <cell r="D13">
            <v>241.77</v>
          </cell>
        </row>
        <row r="14">
          <cell r="A14" t="str">
            <v>05:Q2</v>
          </cell>
          <cell r="B14">
            <v>222.34</v>
          </cell>
          <cell r="C14">
            <v>217.82</v>
          </cell>
          <cell r="D14">
            <v>243.09</v>
          </cell>
        </row>
        <row r="15">
          <cell r="A15" t="str">
            <v>05:Q3</v>
          </cell>
          <cell r="B15">
            <v>238.12</v>
          </cell>
          <cell r="C15">
            <v>221.15</v>
          </cell>
          <cell r="D15">
            <v>247.25</v>
          </cell>
        </row>
        <row r="16">
          <cell r="A16" t="str">
            <v>05:Q4</v>
          </cell>
          <cell r="B16">
            <v>238.52</v>
          </cell>
          <cell r="C16">
            <v>230.5</v>
          </cell>
          <cell r="D16">
            <v>250.93</v>
          </cell>
        </row>
        <row r="17">
          <cell r="A17" t="str">
            <v>06:Q1</v>
          </cell>
          <cell r="B17">
            <v>232.21</v>
          </cell>
          <cell r="C17">
            <v>217.72</v>
          </cell>
          <cell r="D17">
            <v>253.65</v>
          </cell>
        </row>
        <row r="18">
          <cell r="A18" t="str">
            <v>06:Q2</v>
          </cell>
          <cell r="B18">
            <v>239.42</v>
          </cell>
          <cell r="C18">
            <v>234.23</v>
          </cell>
          <cell r="D18">
            <v>253.33</v>
          </cell>
        </row>
        <row r="19">
          <cell r="A19" t="str">
            <v>06:Q3</v>
          </cell>
          <cell r="B19">
            <v>244.62</v>
          </cell>
          <cell r="C19">
            <v>243.65</v>
          </cell>
          <cell r="D19">
            <v>250.7</v>
          </cell>
        </row>
        <row r="20">
          <cell r="A20" t="str">
            <v>06:Q4</v>
          </cell>
          <cell r="B20">
            <v>235.95</v>
          </cell>
          <cell r="C20">
            <v>237.05</v>
          </cell>
          <cell r="D20">
            <v>249.48</v>
          </cell>
        </row>
        <row r="21">
          <cell r="A21" t="str">
            <v>07:Q1</v>
          </cell>
          <cell r="B21">
            <v>227.92</v>
          </cell>
          <cell r="C21">
            <v>249.1</v>
          </cell>
          <cell r="D21">
            <v>248.41</v>
          </cell>
        </row>
        <row r="22">
          <cell r="A22" t="str">
            <v>07:Q2</v>
          </cell>
          <cell r="B22">
            <v>234.99</v>
          </cell>
          <cell r="C22">
            <v>240.86</v>
          </cell>
          <cell r="D22">
            <v>250.65</v>
          </cell>
        </row>
        <row r="23">
          <cell r="A23" t="str">
            <v>07:Q3</v>
          </cell>
          <cell r="B23">
            <v>241.65</v>
          </cell>
          <cell r="C23">
            <v>221.06</v>
          </cell>
          <cell r="D23">
            <v>248.27</v>
          </cell>
        </row>
        <row r="24">
          <cell r="A24" t="str">
            <v>07:Q4</v>
          </cell>
          <cell r="B24">
            <v>230.59</v>
          </cell>
          <cell r="C24">
            <v>215.54</v>
          </cell>
          <cell r="D24">
            <v>245.12</v>
          </cell>
        </row>
        <row r="25">
          <cell r="A25" t="str">
            <v>08:Q1</v>
          </cell>
          <cell r="B25">
            <v>215.05</v>
          </cell>
          <cell r="C25">
            <v>220.17</v>
          </cell>
          <cell r="D25">
            <v>237.2</v>
          </cell>
        </row>
        <row r="26">
          <cell r="A26" t="str">
            <v>08:Q2</v>
          </cell>
          <cell r="B26">
            <v>210.06</v>
          </cell>
          <cell r="C26">
            <v>221.72</v>
          </cell>
          <cell r="D26">
            <v>228.68</v>
          </cell>
        </row>
        <row r="27">
          <cell r="A27" t="str">
            <v>08:Q3</v>
          </cell>
          <cell r="B27">
            <v>203.84</v>
          </cell>
          <cell r="C27">
            <v>226.25</v>
          </cell>
          <cell r="D27">
            <v>216.85</v>
          </cell>
        </row>
        <row r="28">
          <cell r="A28" t="str">
            <v>08:Q4</v>
          </cell>
          <cell r="B28">
            <v>186.14</v>
          </cell>
          <cell r="C28">
            <v>295.44</v>
          </cell>
          <cell r="D28">
            <v>205.89</v>
          </cell>
        </row>
        <row r="29">
          <cell r="A29" t="str">
            <v>09:Q1</v>
          </cell>
          <cell r="B29">
            <v>172.47</v>
          </cell>
          <cell r="C29">
            <v>318.49</v>
          </cell>
          <cell r="D29">
            <v>193.54</v>
          </cell>
        </row>
        <row r="30">
          <cell r="A30" t="str">
            <v>09:Q2</v>
          </cell>
          <cell r="B30">
            <v>167.93</v>
          </cell>
          <cell r="C30">
            <v>333.29</v>
          </cell>
          <cell r="D30">
            <v>181.09</v>
          </cell>
        </row>
        <row r="31">
          <cell r="A31" t="str">
            <v>09:Q3</v>
          </cell>
          <cell r="B31">
            <v>162.88999999999999</v>
          </cell>
          <cell r="C31">
            <v>375.52</v>
          </cell>
          <cell r="D31">
            <v>168.38</v>
          </cell>
        </row>
        <row r="32">
          <cell r="A32" t="str">
            <v>09:Q4</v>
          </cell>
          <cell r="B32">
            <v>156.19</v>
          </cell>
          <cell r="C32">
            <v>318.73</v>
          </cell>
          <cell r="D32">
            <v>165.86</v>
          </cell>
        </row>
        <row r="33">
          <cell r="A33" t="str">
            <v>10:Q1</v>
          </cell>
          <cell r="B33">
            <v>148.1</v>
          </cell>
          <cell r="C33">
            <v>294.73</v>
          </cell>
          <cell r="D33">
            <v>161.24</v>
          </cell>
        </row>
        <row r="34">
          <cell r="A34" t="str">
            <v>10:Q2</v>
          </cell>
          <cell r="B34">
            <v>149.66</v>
          </cell>
          <cell r="C34">
            <v>272.02999999999997</v>
          </cell>
          <cell r="D34">
            <v>160.59</v>
          </cell>
        </row>
        <row r="35">
          <cell r="A35" t="str">
            <v>10:Q3</v>
          </cell>
          <cell r="B35">
            <v>160.75</v>
          </cell>
          <cell r="C35">
            <v>216.94</v>
          </cell>
          <cell r="D35">
            <v>157.94</v>
          </cell>
        </row>
        <row r="36">
          <cell r="A36" t="str">
            <v>10:Q4</v>
          </cell>
          <cell r="B36">
            <v>163.38</v>
          </cell>
          <cell r="C36">
            <v>211.48</v>
          </cell>
          <cell r="D36">
            <v>164.3</v>
          </cell>
        </row>
        <row r="37">
          <cell r="A37" t="str">
            <v>11:Q1</v>
          </cell>
          <cell r="B37">
            <v>157.58000000000001</v>
          </cell>
          <cell r="C37">
            <v>194.63</v>
          </cell>
          <cell r="D37">
            <v>165.91</v>
          </cell>
        </row>
        <row r="38">
          <cell r="A38" t="str">
            <v>11:Q2</v>
          </cell>
          <cell r="B38">
            <v>159.185</v>
          </cell>
          <cell r="C38">
            <v>199.29499999999999</v>
          </cell>
          <cell r="D38">
            <v>168.298</v>
          </cell>
        </row>
        <row r="39">
          <cell r="A39" t="str">
            <v>11:Q3</v>
          </cell>
          <cell r="B39">
            <v>167.351</v>
          </cell>
          <cell r="C39">
            <v>183.57300000000001</v>
          </cell>
          <cell r="D39">
            <v>167.94499999999999</v>
          </cell>
        </row>
        <row r="40">
          <cell r="A40" t="str">
            <v>11:Q4</v>
          </cell>
          <cell r="B40">
            <v>171.90899999999999</v>
          </cell>
          <cell r="C40">
            <v>165.55099999999999</v>
          </cell>
          <cell r="D40">
            <v>173.64099999999999</v>
          </cell>
        </row>
        <row r="41">
          <cell r="A41" t="str">
            <v>12:Q1</v>
          </cell>
          <cell r="B41">
            <v>171.07300000000001</v>
          </cell>
          <cell r="C41">
            <v>184.77600000000001</v>
          </cell>
          <cell r="D41">
            <v>173.03200000000001</v>
          </cell>
        </row>
        <row r="42">
          <cell r="A42" t="str">
            <v>12:Q2</v>
          </cell>
          <cell r="B42">
            <v>167.559</v>
          </cell>
          <cell r="C42">
            <v>174.827</v>
          </cell>
          <cell r="D42">
            <v>176.67599999999999</v>
          </cell>
        </row>
        <row r="43">
          <cell r="A43" t="str">
            <v>12:Q3</v>
          </cell>
          <cell r="B43">
            <v>166.87799999999999</v>
          </cell>
          <cell r="C43">
            <v>185.02799999999999</v>
          </cell>
          <cell r="D43">
            <v>177.37899999999999</v>
          </cell>
        </row>
        <row r="44">
          <cell r="A44" t="str">
            <v>12:Q4</v>
          </cell>
          <cell r="B44">
            <v>164.27199999999999</v>
          </cell>
          <cell r="C44">
            <v>205.267</v>
          </cell>
          <cell r="D44">
            <v>182.07300000000001</v>
          </cell>
        </row>
        <row r="45">
          <cell r="A45" t="str">
            <v>13:Q1</v>
          </cell>
          <cell r="B45">
            <v>157.697</v>
          </cell>
          <cell r="C45">
            <v>189.31700000000001</v>
          </cell>
          <cell r="D45">
            <v>184.77799999999999</v>
          </cell>
        </row>
        <row r="46">
          <cell r="A46" t="str">
            <v>13:Q2</v>
          </cell>
          <cell r="B46">
            <v>159.19900000000001</v>
          </cell>
          <cell r="C46">
            <v>198.315</v>
          </cell>
          <cell r="D46">
            <v>186.80699999999999</v>
          </cell>
        </row>
        <row r="47">
          <cell r="A47" t="str">
            <v>13:Q3</v>
          </cell>
          <cell r="B47">
            <v>168.477</v>
          </cell>
          <cell r="C47">
            <v>202.84</v>
          </cell>
          <cell r="D47">
            <v>190.85900000000001</v>
          </cell>
        </row>
        <row r="48">
          <cell r="A48" t="str">
            <v>13:Q4</v>
          </cell>
          <cell r="B48">
            <v>169.15199999999999</v>
          </cell>
          <cell r="C48">
            <v>179.727</v>
          </cell>
          <cell r="D48">
            <v>196.292</v>
          </cell>
        </row>
        <row r="49">
          <cell r="A49" t="str">
            <v>14:Q1</v>
          </cell>
          <cell r="B49">
            <v>160.786</v>
          </cell>
          <cell r="C49">
            <v>169.691</v>
          </cell>
          <cell r="D49">
            <v>196.06700000000001</v>
          </cell>
        </row>
        <row r="50">
          <cell r="A50" t="str">
            <v>14:Q2</v>
          </cell>
          <cell r="B50">
            <v>162.44999999999999</v>
          </cell>
          <cell r="C50">
            <v>159.23699999999999</v>
          </cell>
          <cell r="D50">
            <v>196.083</v>
          </cell>
        </row>
        <row r="51">
          <cell r="A51" t="str">
            <v>14:Q3</v>
          </cell>
          <cell r="B51">
            <v>170.87299999999999</v>
          </cell>
          <cell r="C51">
            <v>148.864</v>
          </cell>
          <cell r="D51">
            <v>194.76499999999999</v>
          </cell>
        </row>
        <row r="52">
          <cell r="A52" t="str">
            <v>14:Q4</v>
          </cell>
          <cell r="B52">
            <v>174.91</v>
          </cell>
          <cell r="C52">
            <v>179.79599999999999</v>
          </cell>
          <cell r="D52">
            <v>204.35900000000001</v>
          </cell>
        </row>
        <row r="53">
          <cell r="A53" t="str">
            <v>15:Q1</v>
          </cell>
          <cell r="B53">
            <v>170.25700000000001</v>
          </cell>
          <cell r="C53">
            <v>185.18</v>
          </cell>
          <cell r="D53">
            <v>202.399</v>
          </cell>
        </row>
        <row r="54">
          <cell r="A54" t="str">
            <v>15:Q2</v>
          </cell>
          <cell r="B54">
            <v>173.37799999999999</v>
          </cell>
          <cell r="C54">
            <v>187.89400000000001</v>
          </cell>
          <cell r="D54">
            <v>208.21700000000001</v>
          </cell>
        </row>
        <row r="55">
          <cell r="A55" t="str">
            <v>15:Q3</v>
          </cell>
          <cell r="B55">
            <v>182.02</v>
          </cell>
          <cell r="C55">
            <v>191.964</v>
          </cell>
          <cell r="D55">
            <v>208.58699999999999</v>
          </cell>
        </row>
        <row r="56">
          <cell r="A56" t="str">
            <v>15:Q4</v>
          </cell>
          <cell r="B56">
            <v>175.28800000000001</v>
          </cell>
          <cell r="C56">
            <v>193.495</v>
          </cell>
          <cell r="D56">
            <v>213.90100000000001</v>
          </cell>
        </row>
        <row r="57">
          <cell r="A57" t="str">
            <v>16:Q1</v>
          </cell>
          <cell r="B57">
            <v>166.84200000000001</v>
          </cell>
          <cell r="C57">
            <v>189.417</v>
          </cell>
          <cell r="D57">
            <v>216.267</v>
          </cell>
        </row>
        <row r="58">
          <cell r="A58" t="str">
            <v>16:Q2</v>
          </cell>
          <cell r="B58">
            <v>169.03</v>
          </cell>
          <cell r="C58">
            <v>194.834</v>
          </cell>
          <cell r="D58">
            <v>218.143</v>
          </cell>
        </row>
        <row r="59">
          <cell r="A59" t="str">
            <v>16:Q3</v>
          </cell>
          <cell r="B59">
            <v>175.274</v>
          </cell>
          <cell r="C59">
            <v>188.50700000000001</v>
          </cell>
          <cell r="D59">
            <v>217.00700000000001</v>
          </cell>
        </row>
        <row r="60">
          <cell r="A60" t="str">
            <v>16:Q4</v>
          </cell>
          <cell r="B60">
            <v>171.09700000000001</v>
          </cell>
          <cell r="C60">
            <v>192.49299999999999</v>
          </cell>
          <cell r="D60">
            <v>218.51400000000001</v>
          </cell>
        </row>
        <row r="61">
          <cell r="A61" t="str">
            <v>17:Q1</v>
          </cell>
          <cell r="B61">
            <v>161.50700000000001</v>
          </cell>
          <cell r="C61">
            <v>198.21600000000001</v>
          </cell>
          <cell r="D61">
            <v>217.78800000000001</v>
          </cell>
        </row>
        <row r="62">
          <cell r="A62" t="str">
            <v>17:Q2</v>
          </cell>
          <cell r="B62">
            <v>161.54900000000001</v>
          </cell>
          <cell r="C62">
            <v>193.40600000000001</v>
          </cell>
          <cell r="D62">
            <v>214.21600000000001</v>
          </cell>
        </row>
        <row r="63">
          <cell r="A63" t="str">
            <v>17:Q3</v>
          </cell>
          <cell r="B63">
            <v>163.71</v>
          </cell>
          <cell r="C63">
            <v>190.495</v>
          </cell>
          <cell r="D63">
            <v>209.09</v>
          </cell>
        </row>
        <row r="64">
          <cell r="A64" t="str">
            <v>17:Q4</v>
          </cell>
          <cell r="B64">
            <v>155.41300000000001</v>
          </cell>
          <cell r="C64">
            <v>197.13900000000001</v>
          </cell>
          <cell r="D64">
            <v>208.285</v>
          </cell>
        </row>
        <row r="65">
          <cell r="A65" t="str">
            <v>18:Q1</v>
          </cell>
          <cell r="B65">
            <v>146.62799999999999</v>
          </cell>
          <cell r="C65">
            <v>198.44200000000001</v>
          </cell>
          <cell r="D65">
            <v>208.74799999999999</v>
          </cell>
        </row>
        <row r="66">
          <cell r="A66" t="str">
            <v>18:Q2</v>
          </cell>
          <cell r="B66">
            <v>146.93</v>
          </cell>
          <cell r="C66">
            <v>217.672</v>
          </cell>
          <cell r="D66">
            <v>207.28</v>
          </cell>
        </row>
        <row r="67">
          <cell r="A67" t="str">
            <v>18:Q3</v>
          </cell>
          <cell r="B67">
            <v>149.21600000000001</v>
          </cell>
          <cell r="C67">
            <v>217.89699999999999</v>
          </cell>
          <cell r="D67">
            <v>204.68100000000001</v>
          </cell>
        </row>
        <row r="68">
          <cell r="A68" t="str">
            <v>18:Q4</v>
          </cell>
          <cell r="B68">
            <v>144.63800000000001</v>
          </cell>
          <cell r="C68">
            <v>223.65600000000001</v>
          </cell>
          <cell r="D68">
            <v>205.94</v>
          </cell>
        </row>
        <row r="69">
          <cell r="A69" t="str">
            <v>19:Q1</v>
          </cell>
          <cell r="B69">
            <v>137.01599999999999</v>
          </cell>
          <cell r="C69">
            <v>229.13300000000001</v>
          </cell>
          <cell r="D69">
            <v>206.04300000000001</v>
          </cell>
        </row>
        <row r="70">
          <cell r="A70" t="str">
            <v>19:Q2</v>
          </cell>
          <cell r="B70">
            <v>139.43899999999999</v>
          </cell>
          <cell r="C70">
            <v>216.22800000000001</v>
          </cell>
          <cell r="D70">
            <v>208.21299999999999</v>
          </cell>
        </row>
        <row r="71">
          <cell r="A71" t="str">
            <v>19:Q3</v>
          </cell>
          <cell r="B71">
            <v>141.59299999999999</v>
          </cell>
          <cell r="C71">
            <v>211.24199999999999</v>
          </cell>
          <cell r="D71">
            <v>206.238</v>
          </cell>
        </row>
        <row r="72">
          <cell r="A72" t="str">
            <v>19:Q4</v>
          </cell>
          <cell r="B72">
            <v>137.417</v>
          </cell>
          <cell r="C72">
            <v>207.39</v>
          </cell>
          <cell r="D72">
            <v>215.90799999999999</v>
          </cell>
        </row>
        <row r="73">
          <cell r="A73" t="str">
            <v>20:Q1</v>
          </cell>
          <cell r="B73">
            <v>134.66999999999999</v>
          </cell>
          <cell r="C73">
            <v>205.452</v>
          </cell>
          <cell r="D73">
            <v>217.74199999999999</v>
          </cell>
        </row>
        <row r="74">
          <cell r="A74" t="str">
            <v>20:Q2</v>
          </cell>
          <cell r="B74">
            <v>127.21299999999999</v>
          </cell>
          <cell r="C74">
            <v>210.09399999999999</v>
          </cell>
          <cell r="D74">
            <v>202.68799999999999</v>
          </cell>
        </row>
        <row r="75">
          <cell r="A75" t="str">
            <v>20:Q3</v>
          </cell>
          <cell r="B75">
            <v>122.029</v>
          </cell>
          <cell r="C75">
            <v>208.39</v>
          </cell>
          <cell r="D75">
            <v>194.946</v>
          </cell>
        </row>
        <row r="76">
          <cell r="A76" t="str">
            <v>20:Q4</v>
          </cell>
          <cell r="B76">
            <v>119.56100000000001</v>
          </cell>
          <cell r="C76">
            <v>221.13499999999999</v>
          </cell>
          <cell r="D76">
            <v>189.626</v>
          </cell>
        </row>
        <row r="77">
          <cell r="A77" t="str">
            <v>21:Q1</v>
          </cell>
          <cell r="B77">
            <v>116.307</v>
          </cell>
          <cell r="C77">
            <v>214.001</v>
          </cell>
          <cell r="D77">
            <v>187.24299999999999</v>
          </cell>
        </row>
        <row r="78">
          <cell r="A78" t="str">
            <v>21:Q2</v>
          </cell>
          <cell r="B78">
            <v>120.631</v>
          </cell>
          <cell r="C78">
            <v>202.29</v>
          </cell>
          <cell r="D78">
            <v>205.82599999999999</v>
          </cell>
        </row>
        <row r="79">
          <cell r="A79" t="str">
            <v>21:Q3</v>
          </cell>
          <cell r="B79">
            <v>122.194</v>
          </cell>
          <cell r="C79">
            <v>199.69399999999999</v>
          </cell>
          <cell r="D79">
            <v>216.648</v>
          </cell>
        </row>
        <row r="80">
          <cell r="A80" t="str">
            <v>21:Q4</v>
          </cell>
          <cell r="B80">
            <v>114.68600000000001</v>
          </cell>
          <cell r="C80">
            <v>188.19399999999999</v>
          </cell>
          <cell r="D80">
            <v>224.17500000000001</v>
          </cell>
        </row>
        <row r="81">
          <cell r="A81" t="str">
            <v>22:Q1</v>
          </cell>
          <cell r="B81">
            <v>108.877</v>
          </cell>
          <cell r="C81">
            <v>189.798</v>
          </cell>
          <cell r="D81">
            <v>229.172</v>
          </cell>
        </row>
        <row r="82">
          <cell r="A82" t="str">
            <v>22:Q2</v>
          </cell>
          <cell r="B82">
            <v>110.322</v>
          </cell>
          <cell r="C82">
            <v>191.00700000000001</v>
          </cell>
          <cell r="D82">
            <v>232.75399999999999</v>
          </cell>
        </row>
        <row r="83">
          <cell r="A83" t="str">
            <v>22:Q3</v>
          </cell>
          <cell r="B83">
            <v>108.887</v>
          </cell>
          <cell r="C83">
            <v>179.94</v>
          </cell>
          <cell r="D83">
            <v>227.041</v>
          </cell>
        </row>
        <row r="84">
          <cell r="A84" t="str">
            <v>22:Q4</v>
          </cell>
          <cell r="B84">
            <v>98.012</v>
          </cell>
          <cell r="C84">
            <v>171.15899999999999</v>
          </cell>
          <cell r="D84">
            <v>223.56899999999999</v>
          </cell>
        </row>
        <row r="85">
          <cell r="A85" t="str">
            <v>23:Q1</v>
          </cell>
          <cell r="B85">
            <v>89.927999999999997</v>
          </cell>
          <cell r="C85">
            <v>166.17400000000001</v>
          </cell>
          <cell r="D85">
            <v>220.53299999999999</v>
          </cell>
        </row>
        <row r="86">
          <cell r="A86" t="str">
            <v>23:Q2</v>
          </cell>
          <cell r="B86">
            <v>89.007000000000005</v>
          </cell>
          <cell r="C86">
            <v>165.36600000000001</v>
          </cell>
          <cell r="D86">
            <v>212.577</v>
          </cell>
        </row>
        <row r="87">
          <cell r="A87" t="str">
            <v>23:Q3</v>
          </cell>
          <cell r="B87">
            <v>87.998000000000005</v>
          </cell>
          <cell r="C87">
            <v>154.49100000000001</v>
          </cell>
          <cell r="D87">
            <v>206.53700000000001</v>
          </cell>
        </row>
        <row r="88">
          <cell r="A88" t="str">
            <v>23:Q4</v>
          </cell>
          <cell r="B88">
            <v>82.212000000000003</v>
          </cell>
          <cell r="C88">
            <v>169.19399999999999</v>
          </cell>
          <cell r="D88">
            <v>202.566</v>
          </cell>
        </row>
        <row r="89">
          <cell r="A89" t="str">
            <v>24:Q1</v>
          </cell>
          <cell r="B89">
            <v>77.281000000000006</v>
          </cell>
          <cell r="C89">
            <v>180.53299999999999</v>
          </cell>
          <cell r="D89">
            <v>202.804</v>
          </cell>
        </row>
        <row r="90">
          <cell r="A90" t="str">
            <v>24:Q2</v>
          </cell>
          <cell r="B90">
            <v>78.751999999999995</v>
          </cell>
          <cell r="C90">
            <v>190.66800000000001</v>
          </cell>
          <cell r="D90">
            <v>199.53700000000001</v>
          </cell>
        </row>
        <row r="91">
          <cell r="A91" t="str">
            <v>24:Q3</v>
          </cell>
          <cell r="B91">
            <v>79.626000000000005</v>
          </cell>
          <cell r="C91">
            <v>207.459</v>
          </cell>
          <cell r="D91">
            <v>194.66</v>
          </cell>
        </row>
        <row r="92">
          <cell r="A92" t="str">
            <v>24:Q4</v>
          </cell>
          <cell r="B92">
            <v>78.94</v>
          </cell>
          <cell r="C92">
            <v>205.70599999999999</v>
          </cell>
          <cell r="D92">
            <v>198.477</v>
          </cell>
        </row>
        <row r="93">
          <cell r="A93" t="str">
            <v>25:Q1</v>
          </cell>
          <cell r="B93">
            <v>76.468000000000004</v>
          </cell>
          <cell r="C93">
            <v>212.42599999999999</v>
          </cell>
          <cell r="D93">
            <v>197.27</v>
          </cell>
        </row>
        <row r="94">
          <cell r="A94" t="str">
            <v>25:Q2</v>
          </cell>
          <cell r="B94">
            <v>76.492999999999995</v>
          </cell>
          <cell r="C94">
            <v>206.04499999999999</v>
          </cell>
          <cell r="D94">
            <v>199.30799999999999</v>
          </cell>
        </row>
        <row r="95">
          <cell r="A95" t="str">
            <v>25:Q3</v>
          </cell>
          <cell r="B95">
            <v>82.293999999999997</v>
          </cell>
          <cell r="C95">
            <v>208.97499999999999</v>
          </cell>
          <cell r="D95">
            <v>206.185</v>
          </cell>
        </row>
        <row r="96">
          <cell r="A96" t="str">
            <v>25:Q4</v>
          </cell>
          <cell r="B96">
            <v>82.772000000000006</v>
          </cell>
          <cell r="C96">
            <v>219.703</v>
          </cell>
          <cell r="D96">
            <v>212.148</v>
          </cell>
        </row>
        <row r="97">
          <cell r="A97" t="str">
            <v>26:Q1</v>
          </cell>
          <cell r="B97">
            <v>79.814999999999998</v>
          </cell>
          <cell r="C97">
            <v>222.68199999999999</v>
          </cell>
          <cell r="D97">
            <v>217.01300000000001</v>
          </cell>
        </row>
      </sheetData>
      <sheetData sheetId="7" refreshError="1"/>
      <sheetData sheetId="8">
        <row r="4">
          <cell r="B4" t="str">
            <v>&lt;620</v>
          </cell>
          <cell r="C4" t="str">
            <v>620-659</v>
          </cell>
          <cell r="D4" t="str">
            <v>660-719</v>
          </cell>
          <cell r="E4" t="str">
            <v>720-759</v>
          </cell>
          <cell r="F4" t="str">
            <v>760+</v>
          </cell>
        </row>
        <row r="5">
          <cell r="B5">
            <v>72.19</v>
          </cell>
          <cell r="C5">
            <v>68.12</v>
          </cell>
          <cell r="D5">
            <v>188.33</v>
          </cell>
          <cell r="E5">
            <v>336.1</v>
          </cell>
          <cell r="F5">
            <v>304.24</v>
          </cell>
        </row>
        <row r="6">
          <cell r="B6">
            <v>71.41</v>
          </cell>
          <cell r="C6">
            <v>70.53</v>
          </cell>
          <cell r="D6">
            <v>203.73</v>
          </cell>
          <cell r="E6">
            <v>352.85</v>
          </cell>
          <cell r="F6">
            <v>316.02999999999997</v>
          </cell>
        </row>
        <row r="7">
          <cell r="B7">
            <v>78.150000000000006</v>
          </cell>
          <cell r="C7">
            <v>81.23</v>
          </cell>
          <cell r="D7">
            <v>215.7</v>
          </cell>
          <cell r="E7">
            <v>363.92</v>
          </cell>
          <cell r="F7">
            <v>324.70999999999998</v>
          </cell>
        </row>
        <row r="8">
          <cell r="B8">
            <v>90.06</v>
          </cell>
          <cell r="C8">
            <v>86.37</v>
          </cell>
          <cell r="D8">
            <v>212.36</v>
          </cell>
          <cell r="E8">
            <v>349.56</v>
          </cell>
          <cell r="F8">
            <v>289.7</v>
          </cell>
        </row>
        <row r="9">
          <cell r="B9">
            <v>79.290000000000006</v>
          </cell>
          <cell r="C9">
            <v>63.47</v>
          </cell>
          <cell r="D9">
            <v>150</v>
          </cell>
          <cell r="E9">
            <v>213.45</v>
          </cell>
          <cell r="F9">
            <v>150.59</v>
          </cell>
        </row>
        <row r="10">
          <cell r="B10">
            <v>87.96</v>
          </cell>
          <cell r="C10">
            <v>69.760000000000005</v>
          </cell>
          <cell r="D10">
            <v>169.62</v>
          </cell>
          <cell r="E10">
            <v>216.33</v>
          </cell>
          <cell r="F10">
            <v>167.23</v>
          </cell>
        </row>
        <row r="11">
          <cell r="B11">
            <v>96.66</v>
          </cell>
          <cell r="C11">
            <v>75.56</v>
          </cell>
          <cell r="D11">
            <v>175.58</v>
          </cell>
          <cell r="E11">
            <v>246.98</v>
          </cell>
          <cell r="F11">
            <v>192.05</v>
          </cell>
        </row>
        <row r="12">
          <cell r="B12">
            <v>88.88</v>
          </cell>
          <cell r="C12">
            <v>67.39</v>
          </cell>
          <cell r="D12">
            <v>158.88999999999999</v>
          </cell>
          <cell r="E12">
            <v>209.93</v>
          </cell>
          <cell r="F12">
            <v>146.26</v>
          </cell>
        </row>
        <row r="13">
          <cell r="B13">
            <v>84.55</v>
          </cell>
          <cell r="C13">
            <v>55.66</v>
          </cell>
          <cell r="D13">
            <v>150.97999999999999</v>
          </cell>
          <cell r="E13">
            <v>199.03</v>
          </cell>
          <cell r="F13">
            <v>168.98</v>
          </cell>
        </row>
        <row r="14">
          <cell r="B14">
            <v>87.04</v>
          </cell>
          <cell r="C14">
            <v>65.680000000000007</v>
          </cell>
          <cell r="D14">
            <v>140.88</v>
          </cell>
          <cell r="E14">
            <v>184.27</v>
          </cell>
          <cell r="F14">
            <v>154.66</v>
          </cell>
        </row>
        <row r="15">
          <cell r="B15">
            <v>83.95</v>
          </cell>
          <cell r="C15">
            <v>73.64</v>
          </cell>
          <cell r="D15">
            <v>184.63</v>
          </cell>
          <cell r="E15">
            <v>228.94</v>
          </cell>
          <cell r="F15">
            <v>190.71</v>
          </cell>
        </row>
        <row r="16">
          <cell r="B16">
            <v>87.04</v>
          </cell>
          <cell r="C16">
            <v>77.7</v>
          </cell>
          <cell r="D16">
            <v>184.83</v>
          </cell>
          <cell r="E16">
            <v>238.86</v>
          </cell>
          <cell r="F16">
            <v>211.56</v>
          </cell>
        </row>
        <row r="17">
          <cell r="B17">
            <v>87.61</v>
          </cell>
          <cell r="C17">
            <v>66</v>
          </cell>
          <cell r="D17">
            <v>145.72</v>
          </cell>
          <cell r="E17">
            <v>213.19</v>
          </cell>
          <cell r="F17">
            <v>162.82</v>
          </cell>
        </row>
        <row r="18">
          <cell r="B18">
            <v>100.21</v>
          </cell>
          <cell r="C18">
            <v>73.55</v>
          </cell>
          <cell r="D18">
            <v>172.34</v>
          </cell>
          <cell r="E18">
            <v>220.4</v>
          </cell>
          <cell r="F18">
            <v>162.52000000000001</v>
          </cell>
        </row>
        <row r="19">
          <cell r="B19">
            <v>95.41</v>
          </cell>
          <cell r="C19">
            <v>78.59</v>
          </cell>
          <cell r="D19">
            <v>165.51</v>
          </cell>
          <cell r="E19">
            <v>203.81</v>
          </cell>
          <cell r="F19">
            <v>176.54</v>
          </cell>
        </row>
        <row r="20">
          <cell r="B20">
            <v>92.82</v>
          </cell>
          <cell r="C20">
            <v>70.42</v>
          </cell>
          <cell r="D20">
            <v>137.69999999999999</v>
          </cell>
          <cell r="E20">
            <v>191.52</v>
          </cell>
          <cell r="F20">
            <v>149.43</v>
          </cell>
        </row>
        <row r="21">
          <cell r="B21">
            <v>114.58</v>
          </cell>
          <cell r="C21">
            <v>77.91</v>
          </cell>
          <cell r="D21">
            <v>169.93</v>
          </cell>
          <cell r="E21">
            <v>209.97</v>
          </cell>
          <cell r="F21">
            <v>179.3</v>
          </cell>
        </row>
        <row r="22">
          <cell r="B22">
            <v>83.17</v>
          </cell>
          <cell r="C22">
            <v>64.61</v>
          </cell>
          <cell r="D22">
            <v>130.47</v>
          </cell>
          <cell r="E22">
            <v>192.46</v>
          </cell>
          <cell r="F22">
            <v>177.39</v>
          </cell>
        </row>
        <row r="23">
          <cell r="B23">
            <v>81.25</v>
          </cell>
          <cell r="C23">
            <v>63.57</v>
          </cell>
          <cell r="D23">
            <v>146.41</v>
          </cell>
          <cell r="E23">
            <v>212.07</v>
          </cell>
          <cell r="F23">
            <v>198.64</v>
          </cell>
        </row>
        <row r="24">
          <cell r="B24">
            <v>53.46</v>
          </cell>
          <cell r="C24">
            <v>44.72</v>
          </cell>
          <cell r="D24">
            <v>105.11</v>
          </cell>
          <cell r="E24">
            <v>148.91</v>
          </cell>
          <cell r="F24">
            <v>162.35</v>
          </cell>
        </row>
        <row r="25">
          <cell r="B25">
            <v>45.92</v>
          </cell>
          <cell r="C25">
            <v>39.67</v>
          </cell>
          <cell r="D25">
            <v>88.48</v>
          </cell>
          <cell r="E25">
            <v>139.96</v>
          </cell>
          <cell r="F25">
            <v>139.13</v>
          </cell>
        </row>
        <row r="26">
          <cell r="B26">
            <v>45.04</v>
          </cell>
          <cell r="C26">
            <v>42.48</v>
          </cell>
          <cell r="D26">
            <v>98.24</v>
          </cell>
          <cell r="E26">
            <v>157.13999999999999</v>
          </cell>
          <cell r="F26">
            <v>214.97</v>
          </cell>
        </row>
        <row r="27">
          <cell r="B27">
            <v>34.78</v>
          </cell>
          <cell r="C27">
            <v>28.42</v>
          </cell>
          <cell r="D27">
            <v>70.55</v>
          </cell>
          <cell r="E27">
            <v>118.8</v>
          </cell>
          <cell r="F27">
            <v>141.22999999999999</v>
          </cell>
        </row>
        <row r="28">
          <cell r="B28">
            <v>29.66</v>
          </cell>
          <cell r="C28">
            <v>24.8</v>
          </cell>
          <cell r="D28">
            <v>52.44</v>
          </cell>
          <cell r="E28">
            <v>82.77</v>
          </cell>
          <cell r="F28">
            <v>112.29</v>
          </cell>
        </row>
        <row r="29">
          <cell r="B29">
            <v>31.26</v>
          </cell>
          <cell r="C29">
            <v>22.74</v>
          </cell>
          <cell r="D29">
            <v>60.86</v>
          </cell>
          <cell r="E29">
            <v>109.99</v>
          </cell>
          <cell r="F29">
            <v>172.75</v>
          </cell>
        </row>
        <row r="30">
          <cell r="B30">
            <v>25.83</v>
          </cell>
          <cell r="C30">
            <v>21.86</v>
          </cell>
          <cell r="D30">
            <v>64.459999999999994</v>
          </cell>
          <cell r="E30">
            <v>140.16999999999999</v>
          </cell>
          <cell r="F30">
            <v>263.91000000000003</v>
          </cell>
        </row>
        <row r="31">
          <cell r="B31">
            <v>24.25</v>
          </cell>
          <cell r="C31">
            <v>22.06</v>
          </cell>
          <cell r="D31">
            <v>70.25</v>
          </cell>
          <cell r="E31">
            <v>137.88999999999999</v>
          </cell>
          <cell r="F31">
            <v>256.87</v>
          </cell>
        </row>
        <row r="32">
          <cell r="B32">
            <v>22.01</v>
          </cell>
          <cell r="C32">
            <v>22</v>
          </cell>
          <cell r="D32">
            <v>57.67</v>
          </cell>
          <cell r="E32">
            <v>113.64</v>
          </cell>
          <cell r="F32">
            <v>177.34</v>
          </cell>
        </row>
        <row r="33">
          <cell r="B33">
            <v>24.06</v>
          </cell>
          <cell r="C33">
            <v>19.350000000000001</v>
          </cell>
          <cell r="D33">
            <v>53.11</v>
          </cell>
          <cell r="E33">
            <v>100.67</v>
          </cell>
          <cell r="F33">
            <v>182.3</v>
          </cell>
        </row>
        <row r="34">
          <cell r="B34">
            <v>16.53</v>
          </cell>
          <cell r="C34">
            <v>20.09</v>
          </cell>
          <cell r="D34">
            <v>52.43</v>
          </cell>
          <cell r="E34">
            <v>100.62</v>
          </cell>
          <cell r="F34">
            <v>176.13</v>
          </cell>
        </row>
        <row r="35">
          <cell r="B35">
            <v>17.62</v>
          </cell>
          <cell r="C35">
            <v>16.61</v>
          </cell>
          <cell r="D35">
            <v>60</v>
          </cell>
          <cell r="E35">
            <v>115.65</v>
          </cell>
          <cell r="F35">
            <v>179.18</v>
          </cell>
        </row>
        <row r="36">
          <cell r="B36">
            <v>18.87</v>
          </cell>
          <cell r="C36">
            <v>18.34</v>
          </cell>
          <cell r="D36">
            <v>47.6</v>
          </cell>
          <cell r="E36">
            <v>122.86</v>
          </cell>
          <cell r="F36">
            <v>255.34</v>
          </cell>
        </row>
        <row r="37">
          <cell r="B37">
            <v>13.01</v>
          </cell>
          <cell r="C37">
            <v>15.93</v>
          </cell>
          <cell r="D37">
            <v>47.96</v>
          </cell>
          <cell r="E37">
            <v>134.53</v>
          </cell>
          <cell r="F37">
            <v>285.79000000000002</v>
          </cell>
        </row>
        <row r="38">
          <cell r="B38">
            <v>11.62</v>
          </cell>
          <cell r="C38">
            <v>15.33</v>
          </cell>
          <cell r="D38">
            <v>41.58</v>
          </cell>
          <cell r="E38">
            <v>97.42</v>
          </cell>
          <cell r="F38">
            <v>185.94</v>
          </cell>
        </row>
        <row r="39">
          <cell r="B39">
            <v>12.89</v>
          </cell>
          <cell r="C39">
            <v>15.81</v>
          </cell>
          <cell r="D39">
            <v>41.03</v>
          </cell>
          <cell r="E39">
            <v>93.55</v>
          </cell>
          <cell r="F39">
            <v>128.99</v>
          </cell>
        </row>
        <row r="40">
          <cell r="B40">
            <v>15.7</v>
          </cell>
          <cell r="C40">
            <v>14.64</v>
          </cell>
          <cell r="D40">
            <v>48.37</v>
          </cell>
          <cell r="E40">
            <v>106.39</v>
          </cell>
          <cell r="F40">
            <v>219.03</v>
          </cell>
        </row>
        <row r="41">
          <cell r="B41">
            <v>13.03</v>
          </cell>
          <cell r="C41">
            <v>17.11</v>
          </cell>
          <cell r="D41">
            <v>45.91</v>
          </cell>
          <cell r="E41">
            <v>100.25</v>
          </cell>
          <cell r="F41">
            <v>235.5</v>
          </cell>
        </row>
        <row r="42">
          <cell r="B42">
            <v>10.82</v>
          </cell>
          <cell r="C42">
            <v>16.93</v>
          </cell>
          <cell r="D42">
            <v>53.17</v>
          </cell>
          <cell r="E42">
            <v>128.97999999999999</v>
          </cell>
          <cell r="F42">
            <v>251.92</v>
          </cell>
        </row>
        <row r="43">
          <cell r="B43">
            <v>15.44</v>
          </cell>
          <cell r="C43">
            <v>21.52</v>
          </cell>
          <cell r="D43">
            <v>60.07</v>
          </cell>
          <cell r="E43">
            <v>145.03</v>
          </cell>
          <cell r="F43">
            <v>278.52</v>
          </cell>
        </row>
        <row r="44">
          <cell r="B44">
            <v>16.43</v>
          </cell>
          <cell r="C44">
            <v>23.26</v>
          </cell>
          <cell r="D44">
            <v>71.72</v>
          </cell>
          <cell r="E44">
            <v>155.58000000000001</v>
          </cell>
          <cell r="F44">
            <v>285.77</v>
          </cell>
        </row>
        <row r="45">
          <cell r="B45">
            <v>16</v>
          </cell>
          <cell r="C45">
            <v>19.45</v>
          </cell>
          <cell r="D45">
            <v>68.38</v>
          </cell>
          <cell r="E45">
            <v>140.57</v>
          </cell>
          <cell r="F45">
            <v>332.36</v>
          </cell>
        </row>
        <row r="46">
          <cell r="B46">
            <v>18.420000000000002</v>
          </cell>
          <cell r="C46">
            <v>20.93</v>
          </cell>
          <cell r="D46">
            <v>77.09</v>
          </cell>
          <cell r="E46">
            <v>158.75</v>
          </cell>
          <cell r="F46">
            <v>303.75</v>
          </cell>
        </row>
        <row r="47">
          <cell r="B47">
            <v>16.8</v>
          </cell>
          <cell r="C47">
            <v>24.73</v>
          </cell>
          <cell r="D47">
            <v>78.650000000000006</v>
          </cell>
          <cell r="E47">
            <v>149.93</v>
          </cell>
          <cell r="F47">
            <v>278.64</v>
          </cell>
        </row>
        <row r="48">
          <cell r="B48">
            <v>16.22</v>
          </cell>
          <cell r="C48">
            <v>18.850000000000001</v>
          </cell>
          <cell r="D48">
            <v>65.7</v>
          </cell>
          <cell r="E48">
            <v>134.57</v>
          </cell>
          <cell r="F48">
            <v>216.01</v>
          </cell>
        </row>
        <row r="49">
          <cell r="B49">
            <v>16.190000000000001</v>
          </cell>
          <cell r="C49">
            <v>21.03</v>
          </cell>
          <cell r="D49">
            <v>50.64</v>
          </cell>
          <cell r="E49">
            <v>92.05</v>
          </cell>
          <cell r="F49">
            <v>151.94</v>
          </cell>
        </row>
        <row r="50">
          <cell r="B50">
            <v>11.77</v>
          </cell>
          <cell r="C50">
            <v>15.49</v>
          </cell>
          <cell r="D50">
            <v>49.34</v>
          </cell>
          <cell r="E50">
            <v>77.02</v>
          </cell>
          <cell r="F50">
            <v>132.1</v>
          </cell>
        </row>
        <row r="51">
          <cell r="B51">
            <v>16.350000000000001</v>
          </cell>
          <cell r="C51">
            <v>15.24</v>
          </cell>
          <cell r="D51">
            <v>61.08</v>
          </cell>
          <cell r="E51">
            <v>100.72</v>
          </cell>
          <cell r="F51">
            <v>143.58000000000001</v>
          </cell>
        </row>
        <row r="52">
          <cell r="B52">
            <v>14.92</v>
          </cell>
          <cell r="C52">
            <v>22.03</v>
          </cell>
          <cell r="D52">
            <v>62.41</v>
          </cell>
          <cell r="E52">
            <v>100.64</v>
          </cell>
          <cell r="F52">
            <v>154.22</v>
          </cell>
        </row>
        <row r="53">
          <cell r="B53">
            <v>14.97</v>
          </cell>
          <cell r="C53">
            <v>13.93</v>
          </cell>
          <cell r="D53">
            <v>60.19</v>
          </cell>
          <cell r="E53">
            <v>97.45</v>
          </cell>
          <cell r="F53">
            <v>181.95</v>
          </cell>
        </row>
        <row r="54">
          <cell r="B54">
            <v>16.2</v>
          </cell>
          <cell r="C54">
            <v>21.7</v>
          </cell>
          <cell r="D54">
            <v>73.47</v>
          </cell>
          <cell r="E54">
            <v>122.05</v>
          </cell>
          <cell r="F54">
            <v>232.26</v>
          </cell>
        </row>
        <row r="55">
          <cell r="B55">
            <v>15.88</v>
          </cell>
          <cell r="C55">
            <v>23.64</v>
          </cell>
          <cell r="D55">
            <v>73.349999999999994</v>
          </cell>
          <cell r="E55">
            <v>88.52</v>
          </cell>
          <cell r="F55">
            <v>287.7</v>
          </cell>
        </row>
        <row r="56">
          <cell r="B56">
            <v>21.4</v>
          </cell>
          <cell r="C56">
            <v>24</v>
          </cell>
          <cell r="D56">
            <v>77.400000000000006</v>
          </cell>
          <cell r="E56">
            <v>70.8</v>
          </cell>
          <cell r="F56">
            <v>243.3</v>
          </cell>
        </row>
        <row r="57">
          <cell r="B57">
            <v>15.4</v>
          </cell>
          <cell r="C57">
            <v>17.899999999999999</v>
          </cell>
          <cell r="D57">
            <v>64.400000000000006</v>
          </cell>
          <cell r="E57">
            <v>65.2</v>
          </cell>
          <cell r="F57">
            <v>225.7</v>
          </cell>
        </row>
        <row r="58">
          <cell r="B58">
            <v>14.55</v>
          </cell>
          <cell r="C58">
            <v>24.66</v>
          </cell>
          <cell r="D58">
            <v>71.09</v>
          </cell>
          <cell r="E58">
            <v>76.17</v>
          </cell>
          <cell r="F58">
            <v>240.1</v>
          </cell>
        </row>
        <row r="59">
          <cell r="B59">
            <v>15.76</v>
          </cell>
          <cell r="C59">
            <v>23.48</v>
          </cell>
          <cell r="D59">
            <v>78.569999999999993</v>
          </cell>
          <cell r="E59">
            <v>76.349999999999994</v>
          </cell>
          <cell r="F59">
            <v>282.89999999999998</v>
          </cell>
        </row>
        <row r="60">
          <cell r="B60">
            <v>22.82</v>
          </cell>
          <cell r="C60">
            <v>27.97</v>
          </cell>
          <cell r="D60">
            <v>100.6</v>
          </cell>
          <cell r="E60">
            <v>105.2</v>
          </cell>
          <cell r="F60">
            <v>360.2</v>
          </cell>
        </row>
        <row r="61">
          <cell r="B61">
            <v>17.72</v>
          </cell>
          <cell r="C61">
            <v>22.75</v>
          </cell>
          <cell r="D61">
            <v>74.150000000000006</v>
          </cell>
          <cell r="E61">
            <v>77.650000000000006</v>
          </cell>
          <cell r="F61">
            <v>299.10000000000002</v>
          </cell>
        </row>
        <row r="62">
          <cell r="B62">
            <v>15.22</v>
          </cell>
          <cell r="C62">
            <v>22.79</v>
          </cell>
          <cell r="D62">
            <v>73.02</v>
          </cell>
          <cell r="E62">
            <v>81.02</v>
          </cell>
          <cell r="F62">
            <v>229.4</v>
          </cell>
        </row>
        <row r="63">
          <cell r="B63">
            <v>18.57</v>
          </cell>
          <cell r="C63">
            <v>23.89</v>
          </cell>
          <cell r="D63">
            <v>84</v>
          </cell>
          <cell r="E63">
            <v>78.89</v>
          </cell>
          <cell r="F63">
            <v>274</v>
          </cell>
        </row>
        <row r="64">
          <cell r="B64">
            <v>20.37</v>
          </cell>
          <cell r="C64">
            <v>23.68</v>
          </cell>
          <cell r="D64">
            <v>74.87</v>
          </cell>
          <cell r="E64">
            <v>76.28</v>
          </cell>
          <cell r="F64">
            <v>256.3</v>
          </cell>
        </row>
        <row r="65">
          <cell r="B65">
            <v>14.94</v>
          </cell>
          <cell r="C65">
            <v>20.95</v>
          </cell>
          <cell r="D65">
            <v>66.88</v>
          </cell>
          <cell r="E65">
            <v>76.42</v>
          </cell>
          <cell r="F65">
            <v>248.7</v>
          </cell>
        </row>
        <row r="66">
          <cell r="B66">
            <v>16.05</v>
          </cell>
          <cell r="C66">
            <v>21.07</v>
          </cell>
          <cell r="D66">
            <v>71.7</v>
          </cell>
          <cell r="E66">
            <v>73.94</v>
          </cell>
          <cell r="F66">
            <v>254.7</v>
          </cell>
        </row>
        <row r="67">
          <cell r="B67">
            <v>14.52</v>
          </cell>
          <cell r="C67">
            <v>23.82</v>
          </cell>
          <cell r="D67">
            <v>73.77</v>
          </cell>
          <cell r="E67">
            <v>79.55</v>
          </cell>
          <cell r="F67">
            <v>253.6</v>
          </cell>
        </row>
        <row r="68">
          <cell r="B68">
            <v>15.2</v>
          </cell>
          <cell r="C68">
            <v>23.88</v>
          </cell>
          <cell r="D68">
            <v>68.17</v>
          </cell>
          <cell r="E68">
            <v>61.93</v>
          </cell>
          <cell r="F68">
            <v>232.3</v>
          </cell>
        </row>
        <row r="69">
          <cell r="B69">
            <v>14.3</v>
          </cell>
          <cell r="C69">
            <v>19.239999999999998</v>
          </cell>
          <cell r="D69">
            <v>55.57</v>
          </cell>
          <cell r="E69">
            <v>61.21</v>
          </cell>
          <cell r="F69">
            <v>193.7</v>
          </cell>
        </row>
        <row r="70">
          <cell r="B70">
            <v>18.41</v>
          </cell>
          <cell r="C70">
            <v>26.94</v>
          </cell>
          <cell r="D70">
            <v>70.709999999999994</v>
          </cell>
          <cell r="E70">
            <v>78.19</v>
          </cell>
          <cell r="F70">
            <v>279.8</v>
          </cell>
        </row>
        <row r="71">
          <cell r="B71">
            <v>18.29</v>
          </cell>
          <cell r="C71">
            <v>23.57</v>
          </cell>
          <cell r="D71">
            <v>78.2</v>
          </cell>
          <cell r="E71">
            <v>86.29</v>
          </cell>
          <cell r="F71">
            <v>321.89999999999998</v>
          </cell>
        </row>
        <row r="72">
          <cell r="B72">
            <v>26.88</v>
          </cell>
          <cell r="C72">
            <v>28.51</v>
          </cell>
          <cell r="D72">
            <v>98.38</v>
          </cell>
          <cell r="E72">
            <v>119.6</v>
          </cell>
          <cell r="F72">
            <v>478.6</v>
          </cell>
        </row>
        <row r="73">
          <cell r="B73">
            <v>19.260000000000002</v>
          </cell>
          <cell r="C73">
            <v>24.05</v>
          </cell>
          <cell r="D73">
            <v>83.96</v>
          </cell>
          <cell r="E73">
            <v>109.1</v>
          </cell>
          <cell r="F73">
            <v>425.3</v>
          </cell>
        </row>
        <row r="74">
          <cell r="B74">
            <v>16.670000000000002</v>
          </cell>
          <cell r="C74">
            <v>26.64</v>
          </cell>
          <cell r="D74">
            <v>94.2</v>
          </cell>
          <cell r="E74">
            <v>120.6</v>
          </cell>
          <cell r="F74">
            <v>588.29999999999995</v>
          </cell>
        </row>
        <row r="75">
          <cell r="B75">
            <v>17.29</v>
          </cell>
          <cell r="C75">
            <v>28.46</v>
          </cell>
          <cell r="D75">
            <v>106.8</v>
          </cell>
          <cell r="E75">
            <v>142.4</v>
          </cell>
          <cell r="F75">
            <v>754.3</v>
          </cell>
        </row>
        <row r="76">
          <cell r="B76">
            <v>20.68</v>
          </cell>
          <cell r="C76">
            <v>32.380000000000003</v>
          </cell>
          <cell r="D76">
            <v>124.9</v>
          </cell>
          <cell r="E76">
            <v>158.6</v>
          </cell>
          <cell r="F76">
            <v>838</v>
          </cell>
        </row>
        <row r="77">
          <cell r="B77">
            <v>15.74</v>
          </cell>
          <cell r="C77">
            <v>29.15</v>
          </cell>
          <cell r="D77">
            <v>110.7</v>
          </cell>
          <cell r="E77">
            <v>151.69999999999999</v>
          </cell>
          <cell r="F77">
            <v>831.1</v>
          </cell>
        </row>
        <row r="78">
          <cell r="B78">
            <v>19.190000000000001</v>
          </cell>
          <cell r="C78">
            <v>34.71</v>
          </cell>
          <cell r="D78">
            <v>127.8</v>
          </cell>
          <cell r="E78">
            <v>167.8</v>
          </cell>
          <cell r="F78">
            <v>868.3</v>
          </cell>
        </row>
        <row r="79">
          <cell r="B79">
            <v>23.31</v>
          </cell>
          <cell r="C79">
            <v>33.54</v>
          </cell>
          <cell r="D79">
            <v>130.4</v>
          </cell>
          <cell r="E79">
            <v>158.4</v>
          </cell>
          <cell r="F79">
            <v>769</v>
          </cell>
        </row>
        <row r="80">
          <cell r="B80">
            <v>22.11</v>
          </cell>
          <cell r="C80">
            <v>36.4</v>
          </cell>
          <cell r="D80">
            <v>132.30000000000001</v>
          </cell>
          <cell r="E80">
            <v>150.30000000000001</v>
          </cell>
          <cell r="F80">
            <v>694</v>
          </cell>
        </row>
        <row r="81">
          <cell r="B81">
            <v>19.989999999999998</v>
          </cell>
          <cell r="C81">
            <v>27.36</v>
          </cell>
          <cell r="D81">
            <v>112.3</v>
          </cell>
          <cell r="E81">
            <v>117.4</v>
          </cell>
          <cell r="F81">
            <v>581.9</v>
          </cell>
        </row>
        <row r="82">
          <cell r="B82">
            <v>21.92</v>
          </cell>
          <cell r="C82">
            <v>28.21</v>
          </cell>
          <cell r="D82">
            <v>94.69</v>
          </cell>
          <cell r="E82">
            <v>118.5</v>
          </cell>
          <cell r="F82">
            <v>494.8</v>
          </cell>
        </row>
        <row r="83">
          <cell r="B83">
            <v>19.72</v>
          </cell>
          <cell r="C83">
            <v>28.029999999999998</v>
          </cell>
          <cell r="D83">
            <v>88.25</v>
          </cell>
          <cell r="E83">
            <v>103.3</v>
          </cell>
          <cell r="F83">
            <v>393.2</v>
          </cell>
        </row>
        <row r="84">
          <cell r="B84">
            <v>14.86</v>
          </cell>
          <cell r="C84">
            <v>25.72</v>
          </cell>
          <cell r="D84">
            <v>68.55</v>
          </cell>
          <cell r="E84">
            <v>79.94</v>
          </cell>
          <cell r="F84">
            <v>308.5</v>
          </cell>
        </row>
        <row r="85">
          <cell r="B85">
            <v>11.55</v>
          </cell>
          <cell r="C85">
            <v>15.66</v>
          </cell>
          <cell r="D85">
            <v>42.63</v>
          </cell>
          <cell r="E85">
            <v>57.29</v>
          </cell>
          <cell r="F85">
            <v>196.4</v>
          </cell>
        </row>
        <row r="86">
          <cell r="B86">
            <v>13.52</v>
          </cell>
          <cell r="C86">
            <v>18.420000000000002</v>
          </cell>
          <cell r="D86">
            <v>57.83</v>
          </cell>
          <cell r="E86">
            <v>60.99</v>
          </cell>
          <cell r="F86">
            <v>242.6</v>
          </cell>
        </row>
        <row r="87">
          <cell r="B87">
            <v>14.81</v>
          </cell>
          <cell r="C87">
            <v>14.51</v>
          </cell>
          <cell r="D87">
            <v>60.7</v>
          </cell>
          <cell r="E87">
            <v>55.65</v>
          </cell>
          <cell r="F87">
            <v>240.7</v>
          </cell>
        </row>
        <row r="88">
          <cell r="B88">
            <v>14.87</v>
          </cell>
          <cell r="C88">
            <v>14.05</v>
          </cell>
          <cell r="D88">
            <v>53.19</v>
          </cell>
          <cell r="E88">
            <v>63.76</v>
          </cell>
          <cell r="F88">
            <v>247.9</v>
          </cell>
        </row>
        <row r="89">
          <cell r="B89">
            <v>12.61</v>
          </cell>
          <cell r="C89">
            <v>14.3</v>
          </cell>
          <cell r="D89">
            <v>46.26</v>
          </cell>
          <cell r="E89">
            <v>45.68</v>
          </cell>
          <cell r="F89">
            <v>283.8</v>
          </cell>
        </row>
        <row r="90">
          <cell r="B90">
            <v>14.54</v>
          </cell>
          <cell r="C90">
            <v>16.11</v>
          </cell>
          <cell r="D90">
            <v>47.75</v>
          </cell>
          <cell r="E90">
            <v>59.71</v>
          </cell>
          <cell r="F90">
            <v>236</v>
          </cell>
        </row>
        <row r="91">
          <cell r="B91">
            <v>15.48</v>
          </cell>
          <cell r="C91">
            <v>18.39</v>
          </cell>
          <cell r="D91">
            <v>51.87</v>
          </cell>
          <cell r="E91">
            <v>67.67</v>
          </cell>
          <cell r="F91">
            <v>294.89999999999998</v>
          </cell>
        </row>
        <row r="92">
          <cell r="B92">
            <v>18.36</v>
          </cell>
          <cell r="C92">
            <v>18.63</v>
          </cell>
          <cell r="D92">
            <v>57.9</v>
          </cell>
          <cell r="E92">
            <v>65.760000000000005</v>
          </cell>
          <cell r="F92">
            <v>304.7</v>
          </cell>
        </row>
        <row r="93">
          <cell r="B93">
            <v>20.05</v>
          </cell>
          <cell r="C93">
            <v>19.52</v>
          </cell>
          <cell r="D93">
            <v>50.04</v>
          </cell>
          <cell r="E93">
            <v>58.72</v>
          </cell>
          <cell r="F93">
            <v>277.3</v>
          </cell>
        </row>
        <row r="94">
          <cell r="B94">
            <v>19.77</v>
          </cell>
          <cell r="C94">
            <v>17.82</v>
          </cell>
          <cell r="D94">
            <v>53.39</v>
          </cell>
          <cell r="E94">
            <v>62.2</v>
          </cell>
          <cell r="F94">
            <v>305.10000000000002</v>
          </cell>
        </row>
        <row r="95">
          <cell r="B95">
            <v>18.190000000000001</v>
          </cell>
          <cell r="C95">
            <v>21.55</v>
          </cell>
          <cell r="D95">
            <v>58.15</v>
          </cell>
          <cell r="E95">
            <v>76.459999999999994</v>
          </cell>
          <cell r="F95">
            <v>337.8</v>
          </cell>
        </row>
        <row r="96">
          <cell r="B96">
            <v>25.68</v>
          </cell>
          <cell r="C96">
            <v>21.09</v>
          </cell>
          <cell r="D96">
            <v>64.17</v>
          </cell>
          <cell r="E96">
            <v>71.08</v>
          </cell>
          <cell r="F96">
            <v>342.4</v>
          </cell>
        </row>
        <row r="97">
          <cell r="B97">
            <v>13.5</v>
          </cell>
          <cell r="C97">
            <v>28.15</v>
          </cell>
          <cell r="D97">
            <v>85.84</v>
          </cell>
          <cell r="E97">
            <v>90.11</v>
          </cell>
          <cell r="F97">
            <v>312.2</v>
          </cell>
        </row>
      </sheetData>
      <sheetData sheetId="9" refreshError="1"/>
      <sheetData sheetId="10">
        <row r="1">
          <cell r="A1" t="str">
            <v>Distribution of Riskscore of Mortgage Originations</v>
          </cell>
        </row>
        <row r="2">
          <cell r="A2" t="str">
            <v>Return to Table of Contents</v>
          </cell>
        </row>
        <row r="3">
          <cell r="B3" t="str">
            <v>Median</v>
          </cell>
          <cell r="C3" t="str">
            <v>25th percentile</v>
          </cell>
          <cell r="D3" t="str">
            <v>10th percentile</v>
          </cell>
        </row>
        <row r="4">
          <cell r="A4" t="str">
            <v>99:Q2</v>
          </cell>
          <cell r="B4">
            <v>721</v>
          </cell>
          <cell r="C4">
            <v>658</v>
          </cell>
          <cell r="D4">
            <v>597</v>
          </cell>
        </row>
        <row r="5">
          <cell r="A5" t="str">
            <v>99:Q3</v>
          </cell>
          <cell r="B5">
            <v>723</v>
          </cell>
          <cell r="C5">
            <v>657</v>
          </cell>
          <cell r="D5">
            <v>595</v>
          </cell>
        </row>
        <row r="6">
          <cell r="A6" t="str">
            <v>99:Q4</v>
          </cell>
          <cell r="B6">
            <v>718</v>
          </cell>
          <cell r="C6">
            <v>648</v>
          </cell>
          <cell r="D6">
            <v>583</v>
          </cell>
        </row>
        <row r="7">
          <cell r="A7" t="str">
            <v>00:Q1</v>
          </cell>
          <cell r="B7">
            <v>704</v>
          </cell>
          <cell r="C7">
            <v>631</v>
          </cell>
          <cell r="D7">
            <v>567</v>
          </cell>
        </row>
        <row r="8">
          <cell r="A8" t="str">
            <v>00:Q2</v>
          </cell>
          <cell r="B8">
            <v>698</v>
          </cell>
          <cell r="C8">
            <v>629</v>
          </cell>
          <cell r="D8">
            <v>568</v>
          </cell>
        </row>
        <row r="9">
          <cell r="A9" t="str">
            <v>00:Q3</v>
          </cell>
          <cell r="B9">
            <v>703</v>
          </cell>
          <cell r="C9">
            <v>629</v>
          </cell>
          <cell r="D9">
            <v>568</v>
          </cell>
        </row>
        <row r="10">
          <cell r="A10" t="str">
            <v>00:Q4</v>
          </cell>
          <cell r="B10">
            <v>715</v>
          </cell>
          <cell r="C10">
            <v>645</v>
          </cell>
          <cell r="D10">
            <v>574</v>
          </cell>
        </row>
        <row r="11">
          <cell r="A11" t="str">
            <v>01:Q1</v>
          </cell>
          <cell r="B11">
            <v>712</v>
          </cell>
          <cell r="C11">
            <v>641</v>
          </cell>
          <cell r="D11">
            <v>569</v>
          </cell>
        </row>
        <row r="12">
          <cell r="A12" t="str">
            <v>01:Q2</v>
          </cell>
          <cell r="B12">
            <v>719</v>
          </cell>
          <cell r="C12">
            <v>651</v>
          </cell>
          <cell r="D12">
            <v>583</v>
          </cell>
        </row>
        <row r="13">
          <cell r="A13" t="str">
            <v>01:Q3</v>
          </cell>
          <cell r="B13">
            <v>725</v>
          </cell>
          <cell r="C13">
            <v>666</v>
          </cell>
          <cell r="D13">
            <v>600</v>
          </cell>
        </row>
        <row r="14">
          <cell r="A14" t="str">
            <v>01:Q4</v>
          </cell>
          <cell r="B14">
            <v>724</v>
          </cell>
          <cell r="C14">
            <v>660</v>
          </cell>
          <cell r="D14">
            <v>594</v>
          </cell>
        </row>
        <row r="15">
          <cell r="A15" t="str">
            <v>02:Q1</v>
          </cell>
          <cell r="B15">
            <v>730</v>
          </cell>
          <cell r="C15">
            <v>667</v>
          </cell>
          <cell r="D15">
            <v>601</v>
          </cell>
        </row>
        <row r="16">
          <cell r="A16" t="str">
            <v>02:Q2</v>
          </cell>
          <cell r="B16">
            <v>730</v>
          </cell>
          <cell r="C16">
            <v>666</v>
          </cell>
          <cell r="D16">
            <v>604</v>
          </cell>
        </row>
        <row r="17">
          <cell r="A17" t="str">
            <v>02:Q3</v>
          </cell>
          <cell r="B17">
            <v>728</v>
          </cell>
          <cell r="C17">
            <v>663</v>
          </cell>
          <cell r="D17">
            <v>597</v>
          </cell>
        </row>
        <row r="18">
          <cell r="A18" t="str">
            <v>02:Q4</v>
          </cell>
          <cell r="B18">
            <v>731</v>
          </cell>
          <cell r="C18">
            <v>670</v>
          </cell>
          <cell r="D18">
            <v>603</v>
          </cell>
        </row>
        <row r="19">
          <cell r="A19" t="str">
            <v>03:Q1</v>
          </cell>
          <cell r="B19">
            <v>743</v>
          </cell>
          <cell r="C19">
            <v>683</v>
          </cell>
          <cell r="D19">
            <v>621</v>
          </cell>
        </row>
        <row r="20">
          <cell r="A20" t="str">
            <v>03:Q2</v>
          </cell>
          <cell r="B20">
            <v>743</v>
          </cell>
          <cell r="C20">
            <v>685</v>
          </cell>
          <cell r="D20">
            <v>624</v>
          </cell>
        </row>
        <row r="21">
          <cell r="A21" t="str">
            <v>03:Q3</v>
          </cell>
          <cell r="B21">
            <v>743</v>
          </cell>
          <cell r="C21">
            <v>684</v>
          </cell>
          <cell r="D21">
            <v>624</v>
          </cell>
        </row>
        <row r="22">
          <cell r="A22" t="str">
            <v>03:Q4</v>
          </cell>
          <cell r="B22">
            <v>736</v>
          </cell>
          <cell r="C22">
            <v>674</v>
          </cell>
          <cell r="D22">
            <v>614</v>
          </cell>
        </row>
        <row r="23">
          <cell r="A23" t="str">
            <v>04:Q1</v>
          </cell>
          <cell r="B23">
            <v>721</v>
          </cell>
          <cell r="C23">
            <v>656</v>
          </cell>
          <cell r="D23">
            <v>593</v>
          </cell>
        </row>
        <row r="24">
          <cell r="A24" t="str">
            <v>04:Q2</v>
          </cell>
          <cell r="B24">
            <v>718</v>
          </cell>
          <cell r="C24">
            <v>654</v>
          </cell>
          <cell r="D24">
            <v>592</v>
          </cell>
        </row>
        <row r="25">
          <cell r="A25" t="str">
            <v>04:Q3</v>
          </cell>
          <cell r="B25">
            <v>718</v>
          </cell>
          <cell r="C25">
            <v>652</v>
          </cell>
          <cell r="D25">
            <v>589</v>
          </cell>
        </row>
        <row r="26">
          <cell r="A26" t="str">
            <v>04:Q4</v>
          </cell>
          <cell r="B26">
            <v>715</v>
          </cell>
          <cell r="C26">
            <v>651</v>
          </cell>
          <cell r="D26">
            <v>588</v>
          </cell>
        </row>
        <row r="27">
          <cell r="A27" t="str">
            <v>05:Q1</v>
          </cell>
          <cell r="B27">
            <v>723</v>
          </cell>
          <cell r="C27">
            <v>659</v>
          </cell>
          <cell r="D27">
            <v>590</v>
          </cell>
        </row>
        <row r="28">
          <cell r="A28" t="str">
            <v>05:Q2</v>
          </cell>
          <cell r="B28">
            <v>714</v>
          </cell>
          <cell r="C28">
            <v>647</v>
          </cell>
          <cell r="D28">
            <v>586</v>
          </cell>
        </row>
        <row r="29">
          <cell r="A29" t="str">
            <v>05:Q3</v>
          </cell>
          <cell r="B29">
            <v>716</v>
          </cell>
          <cell r="C29">
            <v>654</v>
          </cell>
          <cell r="D29">
            <v>591</v>
          </cell>
        </row>
        <row r="30">
          <cell r="A30" t="str">
            <v>05:Q4</v>
          </cell>
          <cell r="B30">
            <v>720</v>
          </cell>
          <cell r="C30">
            <v>656</v>
          </cell>
          <cell r="D30">
            <v>597</v>
          </cell>
        </row>
        <row r="31">
          <cell r="A31" t="str">
            <v>06:Q1</v>
          </cell>
          <cell r="B31">
            <v>717</v>
          </cell>
          <cell r="C31">
            <v>648</v>
          </cell>
          <cell r="D31">
            <v>587</v>
          </cell>
        </row>
        <row r="32">
          <cell r="A32" t="str">
            <v>06:Q2</v>
          </cell>
          <cell r="B32">
            <v>713</v>
          </cell>
          <cell r="C32">
            <v>644</v>
          </cell>
          <cell r="D32">
            <v>586</v>
          </cell>
        </row>
        <row r="33">
          <cell r="A33" t="str">
            <v>06:Q3</v>
          </cell>
          <cell r="B33">
            <v>713</v>
          </cell>
          <cell r="C33">
            <v>647</v>
          </cell>
          <cell r="D33">
            <v>586</v>
          </cell>
        </row>
        <row r="34">
          <cell r="A34" t="str">
            <v>06:Q4</v>
          </cell>
          <cell r="B34">
            <v>707</v>
          </cell>
          <cell r="C34">
            <v>639</v>
          </cell>
          <cell r="D34">
            <v>578</v>
          </cell>
        </row>
        <row r="35">
          <cell r="A35" t="str">
            <v>07:Q1</v>
          </cell>
          <cell r="B35">
            <v>712</v>
          </cell>
          <cell r="C35">
            <v>641</v>
          </cell>
          <cell r="D35">
            <v>576</v>
          </cell>
        </row>
        <row r="36">
          <cell r="A36" t="str">
            <v>07:Q2</v>
          </cell>
          <cell r="B36">
            <v>721</v>
          </cell>
          <cell r="C36">
            <v>649</v>
          </cell>
          <cell r="D36">
            <v>589</v>
          </cell>
        </row>
        <row r="37">
          <cell r="A37" t="str">
            <v>07:Q3</v>
          </cell>
          <cell r="B37">
            <v>725</v>
          </cell>
          <cell r="C37">
            <v>657</v>
          </cell>
          <cell r="D37">
            <v>592</v>
          </cell>
        </row>
        <row r="38">
          <cell r="A38" t="str">
            <v>07:Q4</v>
          </cell>
          <cell r="B38">
            <v>726</v>
          </cell>
          <cell r="C38">
            <v>660</v>
          </cell>
          <cell r="D38">
            <v>596.5</v>
          </cell>
        </row>
        <row r="39">
          <cell r="A39" t="str">
            <v>08:Q1</v>
          </cell>
          <cell r="B39">
            <v>731</v>
          </cell>
          <cell r="C39">
            <v>664</v>
          </cell>
          <cell r="D39">
            <v>601</v>
          </cell>
        </row>
        <row r="40">
          <cell r="A40" t="str">
            <v>08:Q2</v>
          </cell>
          <cell r="B40">
            <v>745</v>
          </cell>
          <cell r="C40">
            <v>677</v>
          </cell>
          <cell r="D40">
            <v>612</v>
          </cell>
        </row>
        <row r="41">
          <cell r="A41" t="str">
            <v>08:Q3</v>
          </cell>
          <cell r="B41">
            <v>741</v>
          </cell>
          <cell r="C41">
            <v>674</v>
          </cell>
          <cell r="D41">
            <v>608</v>
          </cell>
        </row>
        <row r="42">
          <cell r="A42" t="str">
            <v>08:Q4</v>
          </cell>
          <cell r="B42">
            <v>741</v>
          </cell>
          <cell r="C42">
            <v>668</v>
          </cell>
          <cell r="D42">
            <v>607</v>
          </cell>
        </row>
        <row r="43">
          <cell r="A43" t="str">
            <v>09:Q1</v>
          </cell>
          <cell r="B43">
            <v>763</v>
          </cell>
          <cell r="C43">
            <v>695</v>
          </cell>
          <cell r="D43">
            <v>619</v>
          </cell>
        </row>
        <row r="44">
          <cell r="A44" t="str">
            <v>09:Q2</v>
          </cell>
          <cell r="B44">
            <v>773</v>
          </cell>
          <cell r="C44">
            <v>717</v>
          </cell>
          <cell r="D44">
            <v>649</v>
          </cell>
        </row>
        <row r="45">
          <cell r="A45" t="str">
            <v>09:Q3</v>
          </cell>
          <cell r="B45">
            <v>771</v>
          </cell>
          <cell r="C45">
            <v>713</v>
          </cell>
          <cell r="D45">
            <v>647</v>
          </cell>
        </row>
        <row r="46">
          <cell r="A46" t="str">
            <v>09:Q4</v>
          </cell>
          <cell r="B46">
            <v>759</v>
          </cell>
          <cell r="C46">
            <v>700</v>
          </cell>
          <cell r="D46">
            <v>638</v>
          </cell>
        </row>
        <row r="47">
          <cell r="A47" t="str">
            <v>10:Q1</v>
          </cell>
          <cell r="B47">
            <v>761</v>
          </cell>
          <cell r="C47">
            <v>697</v>
          </cell>
          <cell r="D47">
            <v>630</v>
          </cell>
        </row>
        <row r="48">
          <cell r="A48" t="str">
            <v>10:Q2</v>
          </cell>
          <cell r="B48">
            <v>766</v>
          </cell>
          <cell r="C48">
            <v>706</v>
          </cell>
          <cell r="D48">
            <v>645</v>
          </cell>
        </row>
        <row r="49">
          <cell r="A49" t="str">
            <v>10:Q3</v>
          </cell>
          <cell r="B49">
            <v>767</v>
          </cell>
          <cell r="C49">
            <v>705</v>
          </cell>
          <cell r="D49">
            <v>650</v>
          </cell>
        </row>
        <row r="50">
          <cell r="A50" t="str">
            <v>10:Q4</v>
          </cell>
          <cell r="B50">
            <v>779</v>
          </cell>
          <cell r="C50">
            <v>727</v>
          </cell>
          <cell r="D50">
            <v>658</v>
          </cell>
        </row>
        <row r="51">
          <cell r="A51" t="str">
            <v>11:Q1</v>
          </cell>
          <cell r="B51">
            <v>781</v>
          </cell>
          <cell r="C51">
            <v>735</v>
          </cell>
          <cell r="D51">
            <v>675</v>
          </cell>
        </row>
        <row r="52">
          <cell r="A52" t="str">
            <v>11:Q2</v>
          </cell>
          <cell r="B52">
            <v>774</v>
          </cell>
          <cell r="C52">
            <v>725</v>
          </cell>
          <cell r="D52">
            <v>661</v>
          </cell>
        </row>
        <row r="53">
          <cell r="A53" t="str">
            <v>11:Q3</v>
          </cell>
          <cell r="B53">
            <v>763</v>
          </cell>
          <cell r="C53">
            <v>707</v>
          </cell>
          <cell r="D53">
            <v>649</v>
          </cell>
        </row>
        <row r="54">
          <cell r="A54" t="str">
            <v>11:Q4</v>
          </cell>
          <cell r="B54">
            <v>776</v>
          </cell>
          <cell r="C54">
            <v>722</v>
          </cell>
          <cell r="D54">
            <v>657.5</v>
          </cell>
        </row>
        <row r="55">
          <cell r="A55" t="str">
            <v>12:Q1</v>
          </cell>
          <cell r="B55">
            <v>781</v>
          </cell>
          <cell r="C55">
            <v>726</v>
          </cell>
          <cell r="D55">
            <v>673</v>
          </cell>
        </row>
        <row r="56">
          <cell r="A56" t="str">
            <v>12:Q2</v>
          </cell>
          <cell r="B56">
            <v>779</v>
          </cell>
          <cell r="C56">
            <v>729</v>
          </cell>
          <cell r="D56">
            <v>670</v>
          </cell>
        </row>
        <row r="57">
          <cell r="A57" t="str">
            <v>12:Q3</v>
          </cell>
          <cell r="B57">
            <v>775</v>
          </cell>
          <cell r="C57">
            <v>723</v>
          </cell>
          <cell r="D57">
            <v>663</v>
          </cell>
        </row>
        <row r="58">
          <cell r="A58" t="str">
            <v>12:Q4</v>
          </cell>
          <cell r="B58">
            <v>773</v>
          </cell>
          <cell r="C58">
            <v>720</v>
          </cell>
          <cell r="D58">
            <v>663</v>
          </cell>
        </row>
        <row r="59">
          <cell r="A59" t="str">
            <v>13:Q1</v>
          </cell>
          <cell r="B59">
            <v>780</v>
          </cell>
          <cell r="C59">
            <v>726</v>
          </cell>
          <cell r="D59">
            <v>668</v>
          </cell>
        </row>
        <row r="60">
          <cell r="A60" t="str">
            <v>13:Q2</v>
          </cell>
          <cell r="B60">
            <v>773</v>
          </cell>
          <cell r="C60">
            <v>719</v>
          </cell>
          <cell r="D60">
            <v>660</v>
          </cell>
        </row>
        <row r="61">
          <cell r="A61" t="str">
            <v>13:Q3</v>
          </cell>
          <cell r="B61">
            <v>769</v>
          </cell>
          <cell r="C61">
            <v>712</v>
          </cell>
          <cell r="D61">
            <v>658</v>
          </cell>
        </row>
        <row r="62">
          <cell r="A62" t="str">
            <v>13:Q4</v>
          </cell>
          <cell r="B62">
            <v>765</v>
          </cell>
          <cell r="C62">
            <v>709</v>
          </cell>
          <cell r="D62">
            <v>658</v>
          </cell>
        </row>
        <row r="63">
          <cell r="A63" t="str">
            <v>14:Q1</v>
          </cell>
          <cell r="B63">
            <v>756</v>
          </cell>
          <cell r="C63">
            <v>695.5</v>
          </cell>
          <cell r="D63">
            <v>643</v>
          </cell>
        </row>
        <row r="64">
          <cell r="A64" t="str">
            <v>14:Q2</v>
          </cell>
          <cell r="B64">
            <v>759</v>
          </cell>
          <cell r="C64">
            <v>699</v>
          </cell>
          <cell r="D64">
            <v>651</v>
          </cell>
        </row>
        <row r="65">
          <cell r="A65" t="str">
            <v>14:Q3</v>
          </cell>
          <cell r="B65">
            <v>753</v>
          </cell>
          <cell r="C65">
            <v>697</v>
          </cell>
          <cell r="D65">
            <v>645</v>
          </cell>
        </row>
        <row r="66">
          <cell r="A66" t="str">
            <v>14:Q4</v>
          </cell>
          <cell r="B66">
            <v>751</v>
          </cell>
          <cell r="C66">
            <v>692</v>
          </cell>
          <cell r="D66">
            <v>640</v>
          </cell>
        </row>
        <row r="67">
          <cell r="A67" t="str">
            <v>15:Q1</v>
          </cell>
          <cell r="B67">
            <v>764</v>
          </cell>
          <cell r="C67">
            <v>705</v>
          </cell>
          <cell r="D67">
            <v>654</v>
          </cell>
        </row>
        <row r="68">
          <cell r="A68" t="str">
            <v>15:Q2</v>
          </cell>
          <cell r="B68">
            <v>764</v>
          </cell>
          <cell r="C68">
            <v>704</v>
          </cell>
          <cell r="D68">
            <v>653</v>
          </cell>
        </row>
        <row r="69">
          <cell r="A69" t="str">
            <v>15:Q3</v>
          </cell>
          <cell r="B69">
            <v>758</v>
          </cell>
          <cell r="C69">
            <v>703</v>
          </cell>
          <cell r="D69">
            <v>649</v>
          </cell>
        </row>
        <row r="70">
          <cell r="A70" t="str">
            <v>15:Q4</v>
          </cell>
          <cell r="B70">
            <v>753</v>
          </cell>
          <cell r="C70">
            <v>694</v>
          </cell>
          <cell r="D70">
            <v>642</v>
          </cell>
        </row>
        <row r="71">
          <cell r="A71" t="str">
            <v>16:Q1</v>
          </cell>
          <cell r="B71">
            <v>759</v>
          </cell>
          <cell r="C71">
            <v>705</v>
          </cell>
          <cell r="D71">
            <v>653</v>
          </cell>
        </row>
        <row r="72">
          <cell r="A72" t="str">
            <v>16:Q2</v>
          </cell>
          <cell r="B72">
            <v>756</v>
          </cell>
          <cell r="C72">
            <v>699</v>
          </cell>
          <cell r="D72">
            <v>649</v>
          </cell>
        </row>
        <row r="73">
          <cell r="A73" t="str">
            <v>16:Q3</v>
          </cell>
          <cell r="B73">
            <v>760</v>
          </cell>
          <cell r="C73">
            <v>705</v>
          </cell>
          <cell r="D73">
            <v>654</v>
          </cell>
        </row>
        <row r="74">
          <cell r="A74" t="str">
            <v>16:Q4</v>
          </cell>
          <cell r="B74">
            <v>763</v>
          </cell>
          <cell r="C74">
            <v>705</v>
          </cell>
          <cell r="D74">
            <v>655</v>
          </cell>
        </row>
        <row r="75">
          <cell r="A75" t="str">
            <v>17:Q1</v>
          </cell>
          <cell r="B75">
            <v>764</v>
          </cell>
          <cell r="C75">
            <v>707</v>
          </cell>
          <cell r="D75">
            <v>657</v>
          </cell>
        </row>
        <row r="76">
          <cell r="A76" t="str">
            <v>17:Q2</v>
          </cell>
          <cell r="B76">
            <v>754</v>
          </cell>
          <cell r="C76">
            <v>700</v>
          </cell>
          <cell r="D76">
            <v>648</v>
          </cell>
        </row>
        <row r="77">
          <cell r="A77" t="str">
            <v>17:Q3</v>
          </cell>
          <cell r="B77">
            <v>760</v>
          </cell>
          <cell r="C77">
            <v>702</v>
          </cell>
          <cell r="D77">
            <v>654</v>
          </cell>
        </row>
        <row r="78">
          <cell r="A78" t="str">
            <v>17:Q4</v>
          </cell>
          <cell r="B78">
            <v>755</v>
          </cell>
          <cell r="C78">
            <v>697</v>
          </cell>
          <cell r="D78">
            <v>645</v>
          </cell>
        </row>
        <row r="79">
          <cell r="A79" t="str">
            <v>18:Q1</v>
          </cell>
          <cell r="B79">
            <v>761</v>
          </cell>
          <cell r="C79">
            <v>705</v>
          </cell>
          <cell r="D79">
            <v>655</v>
          </cell>
        </row>
        <row r="80">
          <cell r="A80" t="str">
            <v>18:Q2</v>
          </cell>
          <cell r="B80">
            <v>760</v>
          </cell>
          <cell r="C80">
            <v>706</v>
          </cell>
          <cell r="D80">
            <v>651</v>
          </cell>
        </row>
        <row r="81">
          <cell r="A81" t="str">
            <v>18:Q3</v>
          </cell>
          <cell r="B81">
            <v>758</v>
          </cell>
          <cell r="C81">
            <v>698</v>
          </cell>
          <cell r="D81">
            <v>654</v>
          </cell>
        </row>
        <row r="82">
          <cell r="A82" t="str">
            <v>18:Q4</v>
          </cell>
          <cell r="B82">
            <v>758</v>
          </cell>
          <cell r="C82">
            <v>698</v>
          </cell>
          <cell r="D82">
            <v>649</v>
          </cell>
        </row>
        <row r="83">
          <cell r="A83" t="str">
            <v>19:Q1</v>
          </cell>
          <cell r="B83">
            <v>759</v>
          </cell>
          <cell r="C83">
            <v>703</v>
          </cell>
          <cell r="D83">
            <v>647</v>
          </cell>
        </row>
        <row r="84">
          <cell r="A84" t="str">
            <v>19:Q2</v>
          </cell>
          <cell r="B84">
            <v>759</v>
          </cell>
          <cell r="C84">
            <v>701</v>
          </cell>
          <cell r="D84">
            <v>651</v>
          </cell>
        </row>
        <row r="85">
          <cell r="A85" t="str">
            <v>19:Q3</v>
          </cell>
          <cell r="B85">
            <v>765</v>
          </cell>
          <cell r="C85">
            <v>710</v>
          </cell>
          <cell r="D85">
            <v>656</v>
          </cell>
        </row>
        <row r="86">
          <cell r="A86" t="str">
            <v>19:Q4</v>
          </cell>
          <cell r="B86">
            <v>770</v>
          </cell>
          <cell r="C86">
            <v>716</v>
          </cell>
          <cell r="D86">
            <v>661</v>
          </cell>
        </row>
        <row r="87">
          <cell r="A87" t="str">
            <v>20:Q1</v>
          </cell>
          <cell r="B87">
            <v>773</v>
          </cell>
          <cell r="C87">
            <v>721</v>
          </cell>
          <cell r="D87">
            <v>666</v>
          </cell>
        </row>
        <row r="88">
          <cell r="A88" t="str">
            <v>20:Q2</v>
          </cell>
          <cell r="B88">
            <v>784</v>
          </cell>
          <cell r="C88">
            <v>732</v>
          </cell>
          <cell r="D88">
            <v>676</v>
          </cell>
        </row>
        <row r="89">
          <cell r="A89" t="str">
            <v>20:Q3</v>
          </cell>
          <cell r="B89">
            <v>786</v>
          </cell>
          <cell r="C89">
            <v>740</v>
          </cell>
          <cell r="D89">
            <v>683</v>
          </cell>
        </row>
        <row r="90">
          <cell r="A90" t="str">
            <v>20:Q4</v>
          </cell>
          <cell r="B90">
            <v>786</v>
          </cell>
          <cell r="C90">
            <v>737</v>
          </cell>
          <cell r="D90">
            <v>687</v>
          </cell>
        </row>
        <row r="91">
          <cell r="A91" t="str">
            <v>21:Q1</v>
          </cell>
          <cell r="B91">
            <v>788</v>
          </cell>
          <cell r="C91">
            <v>742</v>
          </cell>
          <cell r="D91">
            <v>688</v>
          </cell>
        </row>
        <row r="92">
          <cell r="A92" t="str">
            <v>21:Q2</v>
          </cell>
          <cell r="B92">
            <v>786</v>
          </cell>
          <cell r="C92">
            <v>738</v>
          </cell>
          <cell r="D92">
            <v>687</v>
          </cell>
        </row>
        <row r="93">
          <cell r="A93" t="str">
            <v>21:Q3</v>
          </cell>
          <cell r="B93">
            <v>781</v>
          </cell>
          <cell r="C93">
            <v>729</v>
          </cell>
          <cell r="D93">
            <v>677</v>
          </cell>
        </row>
        <row r="94">
          <cell r="A94" t="str">
            <v>21:Q4</v>
          </cell>
          <cell r="B94">
            <v>778</v>
          </cell>
          <cell r="C94">
            <v>725</v>
          </cell>
          <cell r="D94">
            <v>671</v>
          </cell>
        </row>
        <row r="95">
          <cell r="A95" t="str">
            <v>22:Q1</v>
          </cell>
          <cell r="B95">
            <v>776</v>
          </cell>
          <cell r="C95">
            <v>723</v>
          </cell>
          <cell r="D95">
            <v>674</v>
          </cell>
        </row>
        <row r="96">
          <cell r="A96" t="str">
            <v>22:Q2</v>
          </cell>
          <cell r="B96">
            <v>773</v>
          </cell>
          <cell r="C96">
            <v>720</v>
          </cell>
          <cell r="D96">
            <v>664</v>
          </cell>
        </row>
        <row r="97">
          <cell r="A97" t="str">
            <v>22:Q3</v>
          </cell>
          <cell r="B97">
            <v>768</v>
          </cell>
          <cell r="C97">
            <v>709</v>
          </cell>
          <cell r="D97">
            <v>660</v>
          </cell>
        </row>
        <row r="98">
          <cell r="A98" t="str">
            <v>22:Q4</v>
          </cell>
          <cell r="B98">
            <v>766</v>
          </cell>
          <cell r="C98">
            <v>708</v>
          </cell>
          <cell r="D98">
            <v>653</v>
          </cell>
        </row>
        <row r="99">
          <cell r="A99" t="str">
            <v>23:Q1</v>
          </cell>
          <cell r="B99">
            <v>765</v>
          </cell>
          <cell r="C99">
            <v>714</v>
          </cell>
          <cell r="D99">
            <v>655</v>
          </cell>
        </row>
        <row r="100">
          <cell r="A100" t="str">
            <v>23:Q2</v>
          </cell>
          <cell r="B100">
            <v>769</v>
          </cell>
          <cell r="C100">
            <v>712</v>
          </cell>
          <cell r="D100">
            <v>654</v>
          </cell>
        </row>
        <row r="101">
          <cell r="A101" t="str">
            <v>23:Q3</v>
          </cell>
          <cell r="B101">
            <v>770</v>
          </cell>
          <cell r="C101">
            <v>712</v>
          </cell>
          <cell r="D101">
            <v>664</v>
          </cell>
        </row>
        <row r="102">
          <cell r="A102" t="str">
            <v>23:Q4</v>
          </cell>
          <cell r="B102">
            <v>770</v>
          </cell>
          <cell r="C102">
            <v>717</v>
          </cell>
          <cell r="D102">
            <v>659</v>
          </cell>
        </row>
        <row r="103">
          <cell r="A103" t="str">
            <v>24:Q1</v>
          </cell>
          <cell r="B103">
            <v>770</v>
          </cell>
          <cell r="C103">
            <v>713</v>
          </cell>
          <cell r="D103">
            <v>664</v>
          </cell>
        </row>
        <row r="104">
          <cell r="A104" t="str">
            <v>24:Q2</v>
          </cell>
          <cell r="B104">
            <v>772</v>
          </cell>
          <cell r="C104">
            <v>715</v>
          </cell>
          <cell r="D104">
            <v>657</v>
          </cell>
        </row>
        <row r="105">
          <cell r="A105" t="str">
            <v>24:Q3</v>
          </cell>
          <cell r="B105">
            <v>773</v>
          </cell>
          <cell r="C105">
            <v>720</v>
          </cell>
          <cell r="D105">
            <v>661</v>
          </cell>
        </row>
        <row r="106">
          <cell r="A106" t="str">
            <v>24:Q4</v>
          </cell>
          <cell r="B106">
            <v>774</v>
          </cell>
          <cell r="C106">
            <v>716</v>
          </cell>
          <cell r="D106">
            <v>655</v>
          </cell>
        </row>
        <row r="107">
          <cell r="A107" t="str">
            <v>25:Q1</v>
          </cell>
          <cell r="B107">
            <v>772</v>
          </cell>
          <cell r="C107">
            <v>713</v>
          </cell>
          <cell r="D107">
            <v>650</v>
          </cell>
        </row>
        <row r="108">
          <cell r="A108" t="str">
            <v>25:Q2</v>
          </cell>
          <cell r="B108">
            <v>777</v>
          </cell>
          <cell r="C108">
            <v>724</v>
          </cell>
          <cell r="D108">
            <v>663</v>
          </cell>
        </row>
        <row r="109">
          <cell r="A109" t="str">
            <v>25:Q3</v>
          </cell>
          <cell r="B109">
            <v>775</v>
          </cell>
          <cell r="C109">
            <v>721</v>
          </cell>
          <cell r="D109">
            <v>660</v>
          </cell>
        </row>
        <row r="110">
          <cell r="A110" t="str">
            <v>25:Q4</v>
          </cell>
          <cell r="B110">
            <v>775</v>
          </cell>
          <cell r="C110">
            <v>716</v>
          </cell>
          <cell r="D110">
            <v>650</v>
          </cell>
        </row>
        <row r="111">
          <cell r="A111" t="str">
            <v>26:Q1</v>
          </cell>
          <cell r="B111">
            <v>762</v>
          </cell>
          <cell r="C111">
            <v>710</v>
          </cell>
          <cell r="D111">
            <v>662</v>
          </cell>
        </row>
      </sheetData>
      <sheetData sheetId="11" refreshError="1"/>
      <sheetData sheetId="12"/>
      <sheetData sheetId="13" refreshError="1"/>
      <sheetData sheetId="14">
        <row r="1">
          <cell r="A1" t="str">
            <v>Distribution of Riskscore of Auto Loan Originations</v>
          </cell>
        </row>
        <row r="2">
          <cell r="A2" t="str">
            <v>Return to Table of Contents</v>
          </cell>
        </row>
        <row r="3">
          <cell r="B3" t="str">
            <v>Auto Loans</v>
          </cell>
        </row>
        <row r="4">
          <cell r="B4" t="str">
            <v>Median</v>
          </cell>
          <cell r="C4" t="str">
            <v>25th percentile</v>
          </cell>
          <cell r="D4" t="str">
            <v>10th percentile</v>
          </cell>
        </row>
        <row r="5">
          <cell r="A5" t="str">
            <v>99:Q2</v>
          </cell>
          <cell r="B5">
            <v>670</v>
          </cell>
          <cell r="C5">
            <v>605</v>
          </cell>
          <cell r="D5">
            <v>541</v>
          </cell>
        </row>
        <row r="6">
          <cell r="A6" t="str">
            <v>99:Q3</v>
          </cell>
          <cell r="B6">
            <v>680</v>
          </cell>
          <cell r="C6">
            <v>611</v>
          </cell>
          <cell r="D6">
            <v>548</v>
          </cell>
        </row>
        <row r="7">
          <cell r="A7" t="str">
            <v>99:Q4</v>
          </cell>
          <cell r="B7">
            <v>667</v>
          </cell>
          <cell r="C7">
            <v>597</v>
          </cell>
          <cell r="D7">
            <v>532</v>
          </cell>
        </row>
        <row r="8">
          <cell r="A8" t="str">
            <v>00:Q1</v>
          </cell>
          <cell r="B8">
            <v>676</v>
          </cell>
          <cell r="C8">
            <v>608</v>
          </cell>
          <cell r="D8">
            <v>539</v>
          </cell>
        </row>
        <row r="9">
          <cell r="A9" t="str">
            <v>00:Q2</v>
          </cell>
          <cell r="B9">
            <v>677</v>
          </cell>
          <cell r="C9">
            <v>604</v>
          </cell>
          <cell r="D9">
            <v>539</v>
          </cell>
        </row>
        <row r="10">
          <cell r="A10" t="str">
            <v>00:Q3</v>
          </cell>
          <cell r="B10">
            <v>673</v>
          </cell>
          <cell r="C10">
            <v>600</v>
          </cell>
          <cell r="D10">
            <v>536</v>
          </cell>
        </row>
        <row r="11">
          <cell r="A11" t="str">
            <v>00:Q4</v>
          </cell>
          <cell r="B11">
            <v>685</v>
          </cell>
          <cell r="C11">
            <v>616</v>
          </cell>
          <cell r="D11">
            <v>547</v>
          </cell>
        </row>
        <row r="12">
          <cell r="A12" t="str">
            <v>01:Q1</v>
          </cell>
          <cell r="B12">
            <v>674</v>
          </cell>
          <cell r="C12">
            <v>597</v>
          </cell>
          <cell r="D12">
            <v>522</v>
          </cell>
        </row>
        <row r="13">
          <cell r="A13" t="str">
            <v>01:Q2</v>
          </cell>
          <cell r="B13">
            <v>676</v>
          </cell>
          <cell r="C13">
            <v>600</v>
          </cell>
          <cell r="D13">
            <v>530</v>
          </cell>
        </row>
        <row r="14">
          <cell r="A14" t="str">
            <v>01:Q3</v>
          </cell>
          <cell r="B14">
            <v>682</v>
          </cell>
          <cell r="C14">
            <v>609</v>
          </cell>
          <cell r="D14">
            <v>536</v>
          </cell>
        </row>
        <row r="15">
          <cell r="A15" t="str">
            <v>01:Q4</v>
          </cell>
          <cell r="B15">
            <v>686</v>
          </cell>
          <cell r="C15">
            <v>610</v>
          </cell>
          <cell r="D15">
            <v>535</v>
          </cell>
        </row>
        <row r="16">
          <cell r="A16" t="str">
            <v>02:Q1</v>
          </cell>
          <cell r="B16">
            <v>695</v>
          </cell>
          <cell r="C16">
            <v>618</v>
          </cell>
          <cell r="D16">
            <v>542</v>
          </cell>
        </row>
        <row r="17">
          <cell r="A17" t="str">
            <v>02:Q2</v>
          </cell>
          <cell r="B17">
            <v>684</v>
          </cell>
          <cell r="C17">
            <v>610</v>
          </cell>
          <cell r="D17">
            <v>540</v>
          </cell>
        </row>
        <row r="18">
          <cell r="A18" t="str">
            <v>02:Q3</v>
          </cell>
          <cell r="B18">
            <v>681</v>
          </cell>
          <cell r="C18">
            <v>607</v>
          </cell>
          <cell r="D18">
            <v>537</v>
          </cell>
        </row>
        <row r="19">
          <cell r="A19" t="str">
            <v>02:Q4</v>
          </cell>
          <cell r="B19">
            <v>690</v>
          </cell>
          <cell r="C19">
            <v>619</v>
          </cell>
          <cell r="D19">
            <v>548</v>
          </cell>
        </row>
        <row r="20">
          <cell r="A20" t="str">
            <v>03:Q1</v>
          </cell>
          <cell r="B20">
            <v>689</v>
          </cell>
          <cell r="C20">
            <v>618</v>
          </cell>
          <cell r="D20">
            <v>550</v>
          </cell>
        </row>
        <row r="21">
          <cell r="A21" t="str">
            <v>03:Q2</v>
          </cell>
          <cell r="B21">
            <v>689</v>
          </cell>
          <cell r="C21">
            <v>619</v>
          </cell>
          <cell r="D21">
            <v>556</v>
          </cell>
        </row>
        <row r="22">
          <cell r="A22" t="str">
            <v>03:Q3</v>
          </cell>
          <cell r="B22">
            <v>699</v>
          </cell>
          <cell r="C22">
            <v>627</v>
          </cell>
          <cell r="D22">
            <v>558</v>
          </cell>
        </row>
        <row r="23">
          <cell r="A23" t="str">
            <v>03:Q4</v>
          </cell>
          <cell r="B23">
            <v>694</v>
          </cell>
          <cell r="C23">
            <v>624</v>
          </cell>
          <cell r="D23">
            <v>556</v>
          </cell>
        </row>
        <row r="24">
          <cell r="A24" t="str">
            <v>04:Q1</v>
          </cell>
          <cell r="B24">
            <v>674</v>
          </cell>
          <cell r="C24">
            <v>599</v>
          </cell>
          <cell r="D24">
            <v>536</v>
          </cell>
        </row>
        <row r="25">
          <cell r="A25" t="str">
            <v>04:Q2</v>
          </cell>
          <cell r="B25">
            <v>687</v>
          </cell>
          <cell r="C25">
            <v>619</v>
          </cell>
          <cell r="D25">
            <v>556</v>
          </cell>
        </row>
        <row r="26">
          <cell r="A26" t="str">
            <v>04:Q3</v>
          </cell>
          <cell r="B26">
            <v>685</v>
          </cell>
          <cell r="C26">
            <v>614</v>
          </cell>
          <cell r="D26">
            <v>552</v>
          </cell>
        </row>
        <row r="27">
          <cell r="A27" t="str">
            <v>04:Q4</v>
          </cell>
          <cell r="B27">
            <v>689</v>
          </cell>
          <cell r="C27">
            <v>613</v>
          </cell>
          <cell r="D27">
            <v>554</v>
          </cell>
        </row>
        <row r="28">
          <cell r="A28" t="str">
            <v>05:Q1</v>
          </cell>
          <cell r="B28">
            <v>685</v>
          </cell>
          <cell r="C28">
            <v>609</v>
          </cell>
          <cell r="D28">
            <v>549</v>
          </cell>
        </row>
        <row r="29">
          <cell r="A29" t="str">
            <v>05:Q2</v>
          </cell>
          <cell r="B29">
            <v>688</v>
          </cell>
          <cell r="C29">
            <v>611</v>
          </cell>
          <cell r="D29">
            <v>553</v>
          </cell>
        </row>
        <row r="30">
          <cell r="A30" t="str">
            <v>05:Q3</v>
          </cell>
          <cell r="B30">
            <v>685</v>
          </cell>
          <cell r="C30">
            <v>611</v>
          </cell>
          <cell r="D30">
            <v>550</v>
          </cell>
        </row>
        <row r="31">
          <cell r="A31" t="str">
            <v>05:Q4</v>
          </cell>
          <cell r="B31">
            <v>674</v>
          </cell>
          <cell r="C31">
            <v>604</v>
          </cell>
          <cell r="D31">
            <v>545</v>
          </cell>
        </row>
        <row r="32">
          <cell r="A32" t="str">
            <v>06:Q1</v>
          </cell>
          <cell r="B32">
            <v>678</v>
          </cell>
          <cell r="C32">
            <v>604</v>
          </cell>
          <cell r="D32">
            <v>545</v>
          </cell>
        </row>
        <row r="33">
          <cell r="A33" t="str">
            <v>06:Q2</v>
          </cell>
          <cell r="B33">
            <v>675</v>
          </cell>
          <cell r="C33">
            <v>602</v>
          </cell>
          <cell r="D33">
            <v>547</v>
          </cell>
        </row>
        <row r="34">
          <cell r="A34" t="str">
            <v>06:Q3</v>
          </cell>
          <cell r="B34">
            <v>682</v>
          </cell>
          <cell r="C34">
            <v>606</v>
          </cell>
          <cell r="D34">
            <v>549</v>
          </cell>
        </row>
        <row r="35">
          <cell r="A35" t="str">
            <v>06:Q4</v>
          </cell>
          <cell r="B35">
            <v>683</v>
          </cell>
          <cell r="C35">
            <v>607</v>
          </cell>
          <cell r="D35">
            <v>546</v>
          </cell>
        </row>
        <row r="36">
          <cell r="A36" t="str">
            <v>07:Q1</v>
          </cell>
          <cell r="B36">
            <v>678</v>
          </cell>
          <cell r="C36">
            <v>602</v>
          </cell>
          <cell r="D36">
            <v>545</v>
          </cell>
        </row>
        <row r="37">
          <cell r="A37" t="str">
            <v>07:Q2</v>
          </cell>
          <cell r="B37">
            <v>678</v>
          </cell>
          <cell r="C37">
            <v>603</v>
          </cell>
          <cell r="D37">
            <v>543</v>
          </cell>
        </row>
        <row r="38">
          <cell r="A38" t="str">
            <v>07:Q3</v>
          </cell>
          <cell r="B38">
            <v>686</v>
          </cell>
          <cell r="C38">
            <v>610</v>
          </cell>
          <cell r="D38">
            <v>551</v>
          </cell>
        </row>
        <row r="39">
          <cell r="A39" t="str">
            <v>07:Q4</v>
          </cell>
          <cell r="B39">
            <v>682</v>
          </cell>
          <cell r="C39">
            <v>604</v>
          </cell>
          <cell r="D39">
            <v>538</v>
          </cell>
        </row>
        <row r="40">
          <cell r="A40" t="str">
            <v>08:Q1</v>
          </cell>
          <cell r="B40">
            <v>686</v>
          </cell>
          <cell r="C40">
            <v>606</v>
          </cell>
          <cell r="D40">
            <v>545</v>
          </cell>
        </row>
        <row r="41">
          <cell r="A41" t="str">
            <v>08:Q2</v>
          </cell>
          <cell r="B41">
            <v>690</v>
          </cell>
          <cell r="C41">
            <v>610</v>
          </cell>
          <cell r="D41">
            <v>544</v>
          </cell>
        </row>
        <row r="42">
          <cell r="A42" t="str">
            <v>08:Q3</v>
          </cell>
          <cell r="B42">
            <v>695</v>
          </cell>
          <cell r="C42">
            <v>621</v>
          </cell>
          <cell r="D42">
            <v>556</v>
          </cell>
        </row>
        <row r="43">
          <cell r="A43" t="str">
            <v>08:Q4</v>
          </cell>
          <cell r="B43">
            <v>696</v>
          </cell>
          <cell r="C43">
            <v>619</v>
          </cell>
          <cell r="D43">
            <v>555</v>
          </cell>
        </row>
        <row r="44">
          <cell r="A44" t="str">
            <v>09:Q1</v>
          </cell>
          <cell r="B44">
            <v>706.5</v>
          </cell>
          <cell r="C44">
            <v>628</v>
          </cell>
          <cell r="D44">
            <v>558</v>
          </cell>
        </row>
        <row r="45">
          <cell r="A45" t="str">
            <v>09:Q2</v>
          </cell>
          <cell r="B45">
            <v>713</v>
          </cell>
          <cell r="C45">
            <v>636</v>
          </cell>
          <cell r="D45">
            <v>570</v>
          </cell>
        </row>
        <row r="46">
          <cell r="A46" t="str">
            <v>09:Q3</v>
          </cell>
          <cell r="B46">
            <v>717</v>
          </cell>
          <cell r="C46">
            <v>639</v>
          </cell>
          <cell r="D46">
            <v>575</v>
          </cell>
        </row>
        <row r="47">
          <cell r="A47" t="str">
            <v>09:Q4</v>
          </cell>
          <cell r="B47">
            <v>716</v>
          </cell>
          <cell r="C47">
            <v>637</v>
          </cell>
          <cell r="D47">
            <v>573</v>
          </cell>
        </row>
        <row r="48">
          <cell r="A48" t="str">
            <v>10:Q1</v>
          </cell>
          <cell r="B48">
            <v>714</v>
          </cell>
          <cell r="C48">
            <v>638</v>
          </cell>
          <cell r="D48">
            <v>573</v>
          </cell>
        </row>
        <row r="49">
          <cell r="A49" t="str">
            <v>10:Q2</v>
          </cell>
          <cell r="B49">
            <v>711</v>
          </cell>
          <cell r="C49">
            <v>635</v>
          </cell>
          <cell r="D49">
            <v>575</v>
          </cell>
        </row>
        <row r="50">
          <cell r="A50" t="str">
            <v>10:Q3</v>
          </cell>
          <cell r="B50">
            <v>713</v>
          </cell>
          <cell r="C50">
            <v>642</v>
          </cell>
          <cell r="D50">
            <v>580</v>
          </cell>
        </row>
        <row r="51">
          <cell r="A51" t="str">
            <v>10:Q4</v>
          </cell>
          <cell r="B51">
            <v>709</v>
          </cell>
          <cell r="C51">
            <v>636</v>
          </cell>
          <cell r="D51">
            <v>577</v>
          </cell>
        </row>
        <row r="52">
          <cell r="A52" t="str">
            <v>11:Q1</v>
          </cell>
          <cell r="B52">
            <v>709</v>
          </cell>
          <cell r="C52">
            <v>634</v>
          </cell>
          <cell r="D52">
            <v>572</v>
          </cell>
        </row>
        <row r="53">
          <cell r="A53" t="str">
            <v>11:Q2</v>
          </cell>
          <cell r="B53">
            <v>704</v>
          </cell>
          <cell r="C53">
            <v>630</v>
          </cell>
          <cell r="D53">
            <v>569</v>
          </cell>
        </row>
        <row r="54">
          <cell r="A54" t="str">
            <v>11:Q3</v>
          </cell>
          <cell r="B54">
            <v>703</v>
          </cell>
          <cell r="C54">
            <v>632</v>
          </cell>
          <cell r="D54">
            <v>571</v>
          </cell>
        </row>
        <row r="55">
          <cell r="A55" t="str">
            <v>11:Q4</v>
          </cell>
          <cell r="B55">
            <v>701</v>
          </cell>
          <cell r="C55">
            <v>627</v>
          </cell>
          <cell r="D55">
            <v>564</v>
          </cell>
        </row>
        <row r="56">
          <cell r="A56" t="str">
            <v>12:Q1</v>
          </cell>
          <cell r="B56">
            <v>701</v>
          </cell>
          <cell r="C56">
            <v>626</v>
          </cell>
          <cell r="D56">
            <v>570</v>
          </cell>
        </row>
        <row r="57">
          <cell r="A57" t="str">
            <v>12:Q2</v>
          </cell>
          <cell r="B57">
            <v>693</v>
          </cell>
          <cell r="C57">
            <v>618</v>
          </cell>
          <cell r="D57">
            <v>559</v>
          </cell>
        </row>
        <row r="58">
          <cell r="A58" t="str">
            <v>12:Q3</v>
          </cell>
          <cell r="B58">
            <v>698</v>
          </cell>
          <cell r="C58">
            <v>624</v>
          </cell>
          <cell r="D58">
            <v>568</v>
          </cell>
        </row>
        <row r="59">
          <cell r="A59" t="str">
            <v>12:Q4</v>
          </cell>
          <cell r="B59">
            <v>697</v>
          </cell>
          <cell r="C59">
            <v>626</v>
          </cell>
          <cell r="D59">
            <v>567</v>
          </cell>
        </row>
        <row r="60">
          <cell r="A60" t="str">
            <v>13:Q1</v>
          </cell>
          <cell r="B60">
            <v>699</v>
          </cell>
          <cell r="C60">
            <v>627</v>
          </cell>
          <cell r="D60">
            <v>570</v>
          </cell>
        </row>
        <row r="61">
          <cell r="A61" t="str">
            <v>13:Q2</v>
          </cell>
          <cell r="B61">
            <v>694</v>
          </cell>
          <cell r="C61">
            <v>621</v>
          </cell>
          <cell r="D61">
            <v>562</v>
          </cell>
        </row>
        <row r="62">
          <cell r="A62" t="str">
            <v>13:Q3</v>
          </cell>
          <cell r="B62">
            <v>690</v>
          </cell>
          <cell r="C62">
            <v>628</v>
          </cell>
          <cell r="D62">
            <v>568</v>
          </cell>
        </row>
        <row r="63">
          <cell r="A63" t="str">
            <v>13:Q4</v>
          </cell>
          <cell r="B63">
            <v>691</v>
          </cell>
          <cell r="C63">
            <v>621</v>
          </cell>
          <cell r="D63">
            <v>562</v>
          </cell>
        </row>
        <row r="64">
          <cell r="A64" t="str">
            <v>14:Q1</v>
          </cell>
          <cell r="B64">
            <v>701</v>
          </cell>
          <cell r="C64">
            <v>628</v>
          </cell>
          <cell r="D64">
            <v>568</v>
          </cell>
        </row>
        <row r="65">
          <cell r="A65" t="str">
            <v>14:Q2</v>
          </cell>
          <cell r="B65">
            <v>692</v>
          </cell>
          <cell r="C65">
            <v>624</v>
          </cell>
          <cell r="D65">
            <v>564</v>
          </cell>
        </row>
        <row r="66">
          <cell r="A66" t="str">
            <v>14:Q3</v>
          </cell>
          <cell r="B66">
            <v>694</v>
          </cell>
          <cell r="C66">
            <v>624</v>
          </cell>
          <cell r="D66">
            <v>566</v>
          </cell>
        </row>
        <row r="67">
          <cell r="A67" t="str">
            <v>14:Q4</v>
          </cell>
          <cell r="B67">
            <v>695</v>
          </cell>
          <cell r="C67">
            <v>627</v>
          </cell>
          <cell r="D67">
            <v>568</v>
          </cell>
        </row>
        <row r="68">
          <cell r="A68" t="str">
            <v>15:Q1</v>
          </cell>
          <cell r="B68">
            <v>696</v>
          </cell>
          <cell r="C68">
            <v>627</v>
          </cell>
          <cell r="D68">
            <v>570</v>
          </cell>
        </row>
        <row r="69">
          <cell r="A69" t="str">
            <v>15:Q2</v>
          </cell>
          <cell r="B69">
            <v>683</v>
          </cell>
          <cell r="C69">
            <v>616</v>
          </cell>
          <cell r="D69">
            <v>556</v>
          </cell>
        </row>
        <row r="70">
          <cell r="A70" t="str">
            <v>15:Q3</v>
          </cell>
          <cell r="B70">
            <v>696</v>
          </cell>
          <cell r="C70">
            <v>626</v>
          </cell>
          <cell r="D70">
            <v>566</v>
          </cell>
        </row>
        <row r="71">
          <cell r="A71" t="str">
            <v>15:Q4</v>
          </cell>
          <cell r="B71">
            <v>696</v>
          </cell>
          <cell r="C71">
            <v>626</v>
          </cell>
          <cell r="D71">
            <v>564</v>
          </cell>
        </row>
        <row r="72">
          <cell r="A72" t="str">
            <v>16:Q1</v>
          </cell>
          <cell r="B72">
            <v>695</v>
          </cell>
          <cell r="C72">
            <v>623</v>
          </cell>
          <cell r="D72">
            <v>562</v>
          </cell>
        </row>
        <row r="73">
          <cell r="A73" t="str">
            <v>16:Q2</v>
          </cell>
          <cell r="B73">
            <v>696</v>
          </cell>
          <cell r="C73">
            <v>626</v>
          </cell>
          <cell r="D73">
            <v>563</v>
          </cell>
        </row>
        <row r="74">
          <cell r="A74" t="str">
            <v>16:Q3</v>
          </cell>
          <cell r="B74">
            <v>698.5</v>
          </cell>
          <cell r="C74">
            <v>628</v>
          </cell>
          <cell r="D74">
            <v>567</v>
          </cell>
        </row>
        <row r="75">
          <cell r="A75" t="str">
            <v>16:Q4</v>
          </cell>
          <cell r="B75">
            <v>700</v>
          </cell>
          <cell r="C75">
            <v>629</v>
          </cell>
          <cell r="D75">
            <v>565</v>
          </cell>
        </row>
        <row r="76">
          <cell r="A76" t="str">
            <v>17:Q1</v>
          </cell>
          <cell r="B76">
            <v>706</v>
          </cell>
          <cell r="C76">
            <v>634</v>
          </cell>
          <cell r="D76">
            <v>572</v>
          </cell>
        </row>
        <row r="77">
          <cell r="A77" t="str">
            <v>17:Q2</v>
          </cell>
          <cell r="B77">
            <v>698</v>
          </cell>
          <cell r="C77">
            <v>627</v>
          </cell>
          <cell r="D77">
            <v>564</v>
          </cell>
        </row>
        <row r="78">
          <cell r="A78" t="str">
            <v>17:Q3</v>
          </cell>
          <cell r="B78">
            <v>705</v>
          </cell>
          <cell r="C78">
            <v>637</v>
          </cell>
          <cell r="D78">
            <v>573</v>
          </cell>
        </row>
        <row r="79">
          <cell r="A79" t="str">
            <v>17:Q4</v>
          </cell>
          <cell r="B79">
            <v>707</v>
          </cell>
          <cell r="C79">
            <v>636</v>
          </cell>
          <cell r="D79">
            <v>575</v>
          </cell>
        </row>
        <row r="80">
          <cell r="A80" t="str">
            <v>18:Q1</v>
          </cell>
          <cell r="B80">
            <v>708</v>
          </cell>
          <cell r="C80">
            <v>637</v>
          </cell>
          <cell r="D80">
            <v>573</v>
          </cell>
        </row>
        <row r="81">
          <cell r="A81" t="str">
            <v>18:Q2</v>
          </cell>
          <cell r="B81">
            <v>703</v>
          </cell>
          <cell r="C81">
            <v>630</v>
          </cell>
          <cell r="D81">
            <v>568</v>
          </cell>
        </row>
        <row r="82">
          <cell r="A82" t="str">
            <v>18:Q3</v>
          </cell>
          <cell r="B82">
            <v>704</v>
          </cell>
          <cell r="C82">
            <v>632</v>
          </cell>
          <cell r="D82">
            <v>570</v>
          </cell>
        </row>
        <row r="83">
          <cell r="A83" t="str">
            <v>18:Q4</v>
          </cell>
          <cell r="B83">
            <v>710</v>
          </cell>
          <cell r="C83">
            <v>639</v>
          </cell>
          <cell r="D83">
            <v>572</v>
          </cell>
        </row>
        <row r="84">
          <cell r="A84" t="str">
            <v>19:Q1</v>
          </cell>
          <cell r="B84">
            <v>708</v>
          </cell>
          <cell r="C84">
            <v>633</v>
          </cell>
          <cell r="D84">
            <v>566</v>
          </cell>
        </row>
        <row r="85">
          <cell r="A85" t="str">
            <v>19:Q2</v>
          </cell>
          <cell r="B85">
            <v>703</v>
          </cell>
          <cell r="C85">
            <v>631</v>
          </cell>
          <cell r="D85">
            <v>567</v>
          </cell>
        </row>
        <row r="86">
          <cell r="A86" t="str">
            <v>19:Q3</v>
          </cell>
          <cell r="B86">
            <v>711</v>
          </cell>
          <cell r="C86">
            <v>638</v>
          </cell>
          <cell r="D86">
            <v>573</v>
          </cell>
        </row>
        <row r="87">
          <cell r="A87" t="str">
            <v>19:Q4</v>
          </cell>
          <cell r="B87">
            <v>715</v>
          </cell>
          <cell r="C87">
            <v>641</v>
          </cell>
          <cell r="D87">
            <v>572</v>
          </cell>
        </row>
        <row r="88">
          <cell r="A88" t="str">
            <v>20:Q1</v>
          </cell>
          <cell r="B88">
            <v>718</v>
          </cell>
          <cell r="C88">
            <v>640</v>
          </cell>
          <cell r="D88">
            <v>574</v>
          </cell>
        </row>
        <row r="89">
          <cell r="A89" t="str">
            <v>20:Q2</v>
          </cell>
          <cell r="B89">
            <v>707</v>
          </cell>
          <cell r="C89">
            <v>636</v>
          </cell>
          <cell r="D89">
            <v>573</v>
          </cell>
        </row>
        <row r="90">
          <cell r="A90" t="str">
            <v>20:Q3</v>
          </cell>
          <cell r="B90">
            <v>712</v>
          </cell>
          <cell r="C90">
            <v>643</v>
          </cell>
          <cell r="D90">
            <v>586</v>
          </cell>
        </row>
        <row r="91">
          <cell r="A91" t="str">
            <v>20:Q4</v>
          </cell>
          <cell r="B91">
            <v>717</v>
          </cell>
          <cell r="C91">
            <v>643</v>
          </cell>
          <cell r="D91">
            <v>583</v>
          </cell>
        </row>
        <row r="92">
          <cell r="A92" t="str">
            <v>21:Q1</v>
          </cell>
          <cell r="B92">
            <v>720</v>
          </cell>
          <cell r="C92">
            <v>650</v>
          </cell>
          <cell r="D92">
            <v>592</v>
          </cell>
        </row>
        <row r="93">
          <cell r="A93" t="str">
            <v>21:Q2</v>
          </cell>
          <cell r="B93">
            <v>710</v>
          </cell>
          <cell r="C93">
            <v>641</v>
          </cell>
          <cell r="D93">
            <v>582</v>
          </cell>
        </row>
        <row r="94">
          <cell r="A94" t="str">
            <v>21:Q3</v>
          </cell>
          <cell r="B94">
            <v>712</v>
          </cell>
          <cell r="C94">
            <v>644</v>
          </cell>
          <cell r="D94">
            <v>586</v>
          </cell>
        </row>
        <row r="95">
          <cell r="A95" t="str">
            <v>21:Q4</v>
          </cell>
          <cell r="B95">
            <v>709</v>
          </cell>
          <cell r="C95">
            <v>642</v>
          </cell>
          <cell r="D95">
            <v>582</v>
          </cell>
        </row>
        <row r="96">
          <cell r="A96" t="str">
            <v>22:Q1</v>
          </cell>
          <cell r="B96">
            <v>713</v>
          </cell>
          <cell r="C96">
            <v>648</v>
          </cell>
          <cell r="D96">
            <v>587</v>
          </cell>
        </row>
        <row r="97">
          <cell r="A97" t="str">
            <v>22:Q2</v>
          </cell>
          <cell r="B97">
            <v>710</v>
          </cell>
          <cell r="C97">
            <v>640</v>
          </cell>
          <cell r="D97">
            <v>580</v>
          </cell>
        </row>
        <row r="98">
          <cell r="A98" t="str">
            <v>22:Q3</v>
          </cell>
          <cell r="B98">
            <v>713</v>
          </cell>
          <cell r="C98">
            <v>644</v>
          </cell>
          <cell r="D98">
            <v>581</v>
          </cell>
        </row>
        <row r="99">
          <cell r="A99" t="str">
            <v>22:Q4</v>
          </cell>
          <cell r="B99">
            <v>711</v>
          </cell>
          <cell r="C99">
            <v>644</v>
          </cell>
          <cell r="D99">
            <v>581</v>
          </cell>
        </row>
        <row r="100">
          <cell r="A100" t="str">
            <v>23:Q1</v>
          </cell>
          <cell r="B100">
            <v>720.5</v>
          </cell>
          <cell r="C100">
            <v>652</v>
          </cell>
          <cell r="D100">
            <v>585</v>
          </cell>
        </row>
        <row r="101">
          <cell r="A101" t="str">
            <v>23:Q2</v>
          </cell>
          <cell r="B101">
            <v>716</v>
          </cell>
          <cell r="C101">
            <v>646</v>
          </cell>
          <cell r="D101">
            <v>581</v>
          </cell>
        </row>
        <row r="102">
          <cell r="A102" t="str">
            <v>23:Q3</v>
          </cell>
          <cell r="B102">
            <v>719</v>
          </cell>
          <cell r="C102">
            <v>648</v>
          </cell>
          <cell r="D102">
            <v>581</v>
          </cell>
        </row>
        <row r="103">
          <cell r="A103" t="str">
            <v>23:Q4</v>
          </cell>
          <cell r="B103">
            <v>720</v>
          </cell>
          <cell r="C103">
            <v>649</v>
          </cell>
          <cell r="D103">
            <v>586</v>
          </cell>
        </row>
        <row r="104">
          <cell r="A104" t="str">
            <v>24:Q1</v>
          </cell>
          <cell r="B104">
            <v>724</v>
          </cell>
          <cell r="C104">
            <v>653</v>
          </cell>
          <cell r="D104">
            <v>585</v>
          </cell>
        </row>
        <row r="105">
          <cell r="A105" t="str">
            <v>24:Q2</v>
          </cell>
          <cell r="B105">
            <v>719</v>
          </cell>
          <cell r="C105">
            <v>646</v>
          </cell>
          <cell r="D105">
            <v>578</v>
          </cell>
        </row>
        <row r="106">
          <cell r="A106" t="str">
            <v>24:Q3</v>
          </cell>
          <cell r="B106">
            <v>722</v>
          </cell>
          <cell r="C106">
            <v>651</v>
          </cell>
          <cell r="D106">
            <v>582</v>
          </cell>
        </row>
        <row r="107">
          <cell r="A107" t="str">
            <v>24:Q4</v>
          </cell>
          <cell r="B107">
            <v>722</v>
          </cell>
          <cell r="C107">
            <v>648</v>
          </cell>
          <cell r="D107">
            <v>580</v>
          </cell>
        </row>
        <row r="108">
          <cell r="A108" t="str">
            <v>25:Q1</v>
          </cell>
          <cell r="B108">
            <v>730</v>
          </cell>
          <cell r="C108">
            <v>656</v>
          </cell>
          <cell r="D108">
            <v>583</v>
          </cell>
        </row>
        <row r="109">
          <cell r="A109" t="str">
            <v>25:Q2</v>
          </cell>
          <cell r="B109">
            <v>724</v>
          </cell>
          <cell r="C109">
            <v>646</v>
          </cell>
          <cell r="D109">
            <v>567</v>
          </cell>
        </row>
        <row r="110">
          <cell r="A110" t="str">
            <v>25:Q3</v>
          </cell>
          <cell r="B110">
            <v>724</v>
          </cell>
          <cell r="C110">
            <v>649</v>
          </cell>
          <cell r="D110">
            <v>576</v>
          </cell>
        </row>
        <row r="111">
          <cell r="A111" t="str">
            <v>25:Q4</v>
          </cell>
          <cell r="B111">
            <v>716</v>
          </cell>
          <cell r="C111">
            <v>639</v>
          </cell>
          <cell r="D111">
            <v>567</v>
          </cell>
        </row>
        <row r="112">
          <cell r="A112" t="str">
            <v>26:Q1</v>
          </cell>
          <cell r="B112">
            <v>723</v>
          </cell>
          <cell r="C112">
            <v>640</v>
          </cell>
          <cell r="D112">
            <v>577</v>
          </cell>
        </row>
      </sheetData>
      <sheetData sheetId="15" refreshError="1"/>
      <sheetData sheetId="16">
        <row r="1">
          <cell r="A1" t="str">
            <v xml:space="preserve">Credit Limit and Balance for Credit Cards and HE Revolving </v>
          </cell>
        </row>
        <row r="2">
          <cell r="A2" t="str">
            <v>Trillions of $</v>
          </cell>
        </row>
        <row r="3">
          <cell r="A3" t="str">
            <v>Return to Table of Contents</v>
          </cell>
        </row>
        <row r="4">
          <cell r="B4" t="str">
            <v>Credit Card Balance</v>
          </cell>
          <cell r="C4" t="str">
            <v>Credit Card Available Credit</v>
          </cell>
          <cell r="D4" t="str">
            <v>Credit Card Limit</v>
          </cell>
          <cell r="E4" t="str">
            <v>HE Revolving Balance</v>
          </cell>
          <cell r="F4" t="str">
            <v>HE Revolving Available Credit</v>
          </cell>
          <cell r="G4" t="str">
            <v>HE Revolving Limit</v>
          </cell>
        </row>
        <row r="5">
          <cell r="A5" t="str">
            <v>03:Q1</v>
          </cell>
          <cell r="B5">
            <v>0.68799999999999994</v>
          </cell>
          <cell r="C5">
            <v>1.8619999999999999</v>
          </cell>
          <cell r="D5">
            <v>2.5499999999999998</v>
          </cell>
        </row>
        <row r="6">
          <cell r="E6">
            <v>0.24199999999999999</v>
          </cell>
          <cell r="F6">
            <v>0.24</v>
          </cell>
          <cell r="G6">
            <v>0.48199999999999998</v>
          </cell>
        </row>
        <row r="7">
          <cell r="A7" t="str">
            <v>03:Q2</v>
          </cell>
          <cell r="B7">
            <v>0.69299999999999995</v>
          </cell>
          <cell r="C7">
            <v>1.867</v>
          </cell>
          <cell r="D7">
            <v>2.56</v>
          </cell>
        </row>
        <row r="8">
          <cell r="E8">
            <v>0.26</v>
          </cell>
          <cell r="F8">
            <v>0.26</v>
          </cell>
          <cell r="G8">
            <v>0.52</v>
          </cell>
        </row>
        <row r="9">
          <cell r="A9" t="str">
            <v>03:Q3</v>
          </cell>
          <cell r="B9">
            <v>0.69299999999999995</v>
          </cell>
          <cell r="C9">
            <v>1.8569999999999998</v>
          </cell>
          <cell r="D9">
            <v>2.5499999999999998</v>
          </cell>
        </row>
        <row r="10">
          <cell r="E10">
            <v>0.26900000000000002</v>
          </cell>
          <cell r="F10">
            <v>0.28700000000000003</v>
          </cell>
          <cell r="G10">
            <v>0.55600000000000005</v>
          </cell>
        </row>
        <row r="11">
          <cell r="A11" t="str">
            <v>03:Q4</v>
          </cell>
          <cell r="B11">
            <v>0.69799999999999995</v>
          </cell>
          <cell r="C11">
            <v>1.8719999999999999</v>
          </cell>
          <cell r="D11">
            <v>2.57</v>
          </cell>
        </row>
        <row r="12">
          <cell r="E12">
            <v>0.30199999999999999</v>
          </cell>
          <cell r="F12">
            <v>0.29699999999999999</v>
          </cell>
          <cell r="G12">
            <v>0.59899999999999998</v>
          </cell>
        </row>
        <row r="13">
          <cell r="A13" t="str">
            <v>04:Q1</v>
          </cell>
          <cell r="B13">
            <v>0.69499999999999995</v>
          </cell>
          <cell r="C13">
            <v>1.875</v>
          </cell>
          <cell r="D13">
            <v>2.57</v>
          </cell>
        </row>
        <row r="14">
          <cell r="E14">
            <v>0.32800000000000001</v>
          </cell>
          <cell r="F14">
            <v>0.309</v>
          </cell>
          <cell r="G14">
            <v>0.63700000000000001</v>
          </cell>
        </row>
        <row r="15">
          <cell r="A15" t="str">
            <v>04:Q2</v>
          </cell>
          <cell r="B15">
            <v>0.69699999999999995</v>
          </cell>
          <cell r="C15">
            <v>1.903</v>
          </cell>
          <cell r="D15">
            <v>2.6</v>
          </cell>
        </row>
        <row r="16">
          <cell r="E16">
            <v>0.36699999999999999</v>
          </cell>
          <cell r="F16">
            <v>0.32599999999999996</v>
          </cell>
          <cell r="G16">
            <v>0.69299999999999995</v>
          </cell>
        </row>
        <row r="17">
          <cell r="A17" t="str">
            <v>04:Q3</v>
          </cell>
          <cell r="B17">
            <v>0.70599999999999996</v>
          </cell>
          <cell r="C17">
            <v>1.8940000000000001</v>
          </cell>
          <cell r="D17">
            <v>2.6</v>
          </cell>
        </row>
        <row r="18">
          <cell r="E18">
            <v>0.42599999999999999</v>
          </cell>
          <cell r="F18">
            <v>0.38100000000000006</v>
          </cell>
          <cell r="G18">
            <v>0.80700000000000005</v>
          </cell>
        </row>
        <row r="19">
          <cell r="A19" t="str">
            <v>04:Q4</v>
          </cell>
          <cell r="B19">
            <v>0.71699999999999997</v>
          </cell>
          <cell r="C19">
            <v>2.1429999999999998</v>
          </cell>
          <cell r="D19">
            <v>2.86</v>
          </cell>
        </row>
        <row r="20">
          <cell r="E20">
            <v>0.46800000000000003</v>
          </cell>
          <cell r="F20">
            <v>0.40499999999999997</v>
          </cell>
          <cell r="G20">
            <v>0.873</v>
          </cell>
        </row>
        <row r="21">
          <cell r="A21" t="str">
            <v>05:Q1</v>
          </cell>
          <cell r="B21">
            <v>0.71</v>
          </cell>
          <cell r="C21">
            <v>2.1800000000000002</v>
          </cell>
          <cell r="D21">
            <v>2.89</v>
          </cell>
        </row>
        <row r="22">
          <cell r="E22">
            <v>0.502</v>
          </cell>
          <cell r="F22">
            <v>0.43699999999999994</v>
          </cell>
          <cell r="G22">
            <v>0.93899999999999995</v>
          </cell>
        </row>
        <row r="23">
          <cell r="A23" t="str">
            <v>05:Q2</v>
          </cell>
          <cell r="B23">
            <v>0.71699999999999997</v>
          </cell>
          <cell r="C23">
            <v>2.2530000000000001</v>
          </cell>
          <cell r="D23">
            <v>2.97</v>
          </cell>
        </row>
        <row r="24">
          <cell r="E24">
            <v>0.52800000000000002</v>
          </cell>
          <cell r="F24">
            <v>0.46899999999999997</v>
          </cell>
          <cell r="G24">
            <v>0.997</v>
          </cell>
        </row>
        <row r="25">
          <cell r="A25" t="str">
            <v>05:Q3</v>
          </cell>
          <cell r="B25">
            <v>0.73199999999999998</v>
          </cell>
          <cell r="C25">
            <v>2.3280000000000003</v>
          </cell>
          <cell r="D25">
            <v>3.0600000000000005</v>
          </cell>
        </row>
        <row r="26">
          <cell r="E26">
            <v>0.54100000000000004</v>
          </cell>
          <cell r="F26">
            <v>0.499</v>
          </cell>
          <cell r="G26">
            <v>1.04</v>
          </cell>
        </row>
        <row r="27">
          <cell r="A27" t="str">
            <v>05:Q4</v>
          </cell>
          <cell r="B27">
            <v>0.73599999999999999</v>
          </cell>
          <cell r="C27">
            <v>2.3540000000000001</v>
          </cell>
          <cell r="D27">
            <v>3.09</v>
          </cell>
        </row>
        <row r="28">
          <cell r="E28">
            <v>0.56499999999999995</v>
          </cell>
          <cell r="F28">
            <v>0.57499999999999996</v>
          </cell>
          <cell r="G28">
            <v>1.1399999999999999</v>
          </cell>
        </row>
        <row r="29">
          <cell r="A29" t="str">
            <v>06:Q1</v>
          </cell>
          <cell r="B29">
            <v>0.72299999999999998</v>
          </cell>
          <cell r="C29">
            <v>2.3970000000000002</v>
          </cell>
          <cell r="D29">
            <v>3.12</v>
          </cell>
        </row>
        <row r="30">
          <cell r="E30">
            <v>0.58199999999999996</v>
          </cell>
          <cell r="F30">
            <v>0.58799999999999997</v>
          </cell>
          <cell r="G30">
            <v>1.17</v>
          </cell>
        </row>
        <row r="31">
          <cell r="A31" t="str">
            <v>06:Q2</v>
          </cell>
          <cell r="B31">
            <v>0.73899999999999999</v>
          </cell>
          <cell r="C31">
            <v>2.411</v>
          </cell>
          <cell r="D31">
            <v>3.15</v>
          </cell>
        </row>
        <row r="32">
          <cell r="E32">
            <v>0.59</v>
          </cell>
          <cell r="F32">
            <v>0.62</v>
          </cell>
          <cell r="G32">
            <v>1.21</v>
          </cell>
        </row>
        <row r="33">
          <cell r="A33" t="str">
            <v>06:Q3</v>
          </cell>
          <cell r="B33">
            <v>0.754</v>
          </cell>
          <cell r="C33">
            <v>2.3759999999999999</v>
          </cell>
          <cell r="D33">
            <v>3.13</v>
          </cell>
        </row>
        <row r="34">
          <cell r="E34">
            <v>0.60299999999999998</v>
          </cell>
          <cell r="F34">
            <v>0.64700000000000002</v>
          </cell>
          <cell r="G34">
            <v>1.25</v>
          </cell>
        </row>
        <row r="35">
          <cell r="A35" t="str">
            <v>06:Q4</v>
          </cell>
          <cell r="B35">
            <v>0.76700000000000002</v>
          </cell>
          <cell r="C35">
            <v>2.2930000000000001</v>
          </cell>
          <cell r="D35">
            <v>3.06</v>
          </cell>
        </row>
        <row r="36">
          <cell r="E36">
            <v>0.60399999999999998</v>
          </cell>
          <cell r="F36">
            <v>0.66600000000000004</v>
          </cell>
          <cell r="G36">
            <v>1.27</v>
          </cell>
        </row>
        <row r="37">
          <cell r="A37" t="str">
            <v>07:Q1</v>
          </cell>
          <cell r="B37">
            <v>0.76400000000000001</v>
          </cell>
          <cell r="C37">
            <v>2.2859999999999996</v>
          </cell>
          <cell r="D37">
            <v>3.05</v>
          </cell>
        </row>
        <row r="38">
          <cell r="E38">
            <v>0.60499999999999998</v>
          </cell>
          <cell r="F38">
            <v>0.67500000000000004</v>
          </cell>
          <cell r="G38">
            <v>1.28</v>
          </cell>
        </row>
        <row r="39">
          <cell r="A39" t="str">
            <v>07:Q2</v>
          </cell>
          <cell r="B39">
            <v>0.79600000000000004</v>
          </cell>
          <cell r="C39">
            <v>2.524</v>
          </cell>
          <cell r="D39">
            <v>3.3200000000000003</v>
          </cell>
        </row>
        <row r="40">
          <cell r="E40">
            <v>0.61899999999999999</v>
          </cell>
          <cell r="F40">
            <v>0.70100000000000007</v>
          </cell>
          <cell r="G40">
            <v>1.32</v>
          </cell>
        </row>
        <row r="41">
          <cell r="A41" t="str">
            <v>07:Q3</v>
          </cell>
          <cell r="B41">
            <v>0.81699999999999995</v>
          </cell>
          <cell r="C41">
            <v>2.5730000000000004</v>
          </cell>
          <cell r="D41">
            <v>3.3900000000000006</v>
          </cell>
        </row>
        <row r="42">
          <cell r="E42">
            <v>0.63100000000000001</v>
          </cell>
          <cell r="F42">
            <v>0.70900000000000007</v>
          </cell>
          <cell r="G42">
            <v>1.34</v>
          </cell>
        </row>
        <row r="43">
          <cell r="A43" t="str">
            <v>07:Q4</v>
          </cell>
          <cell r="B43">
            <v>0.83899999999999997</v>
          </cell>
          <cell r="C43">
            <v>2.621</v>
          </cell>
          <cell r="D43">
            <v>3.46</v>
          </cell>
        </row>
        <row r="44">
          <cell r="E44">
            <v>0.64700000000000002</v>
          </cell>
          <cell r="F44">
            <v>0.72300000000000009</v>
          </cell>
          <cell r="G44">
            <v>1.37</v>
          </cell>
        </row>
        <row r="45">
          <cell r="A45" t="str">
            <v>08:Q1</v>
          </cell>
          <cell r="B45">
            <v>0.83699999999999997</v>
          </cell>
          <cell r="C45">
            <v>2.5830000000000002</v>
          </cell>
          <cell r="D45">
            <v>3.42</v>
          </cell>
        </row>
        <row r="46">
          <cell r="E46">
            <v>0.66300000000000003</v>
          </cell>
          <cell r="F46">
            <v>0.71699999999999986</v>
          </cell>
          <cell r="G46">
            <v>1.38</v>
          </cell>
        </row>
        <row r="47">
          <cell r="A47" t="str">
            <v>08:Q2</v>
          </cell>
          <cell r="B47">
            <v>0.85</v>
          </cell>
          <cell r="C47">
            <v>2.82</v>
          </cell>
          <cell r="D47">
            <v>3.67</v>
          </cell>
        </row>
        <row r="48">
          <cell r="E48">
            <v>0.67900000000000005</v>
          </cell>
          <cell r="F48">
            <v>0.70099999999999985</v>
          </cell>
          <cell r="G48">
            <v>1.38</v>
          </cell>
        </row>
        <row r="49">
          <cell r="A49" t="str">
            <v>08:Q3</v>
          </cell>
          <cell r="B49">
            <v>0.85799999999999998</v>
          </cell>
          <cell r="C49">
            <v>2.8420000000000001</v>
          </cell>
          <cell r="D49">
            <v>3.7</v>
          </cell>
        </row>
        <row r="50">
          <cell r="E50">
            <v>0.69199999999999995</v>
          </cell>
          <cell r="F50">
            <v>0.68799999999999994</v>
          </cell>
          <cell r="G50">
            <v>1.38</v>
          </cell>
        </row>
        <row r="51">
          <cell r="A51" t="str">
            <v>08:Q4</v>
          </cell>
          <cell r="B51">
            <v>0.86599999999999999</v>
          </cell>
          <cell r="C51">
            <v>2.6639999999999997</v>
          </cell>
          <cell r="D51">
            <v>3.53</v>
          </cell>
        </row>
        <row r="52">
          <cell r="E52">
            <v>0.70499999999999996</v>
          </cell>
          <cell r="F52">
            <v>0.66500000000000015</v>
          </cell>
          <cell r="G52">
            <v>1.37</v>
          </cell>
        </row>
        <row r="53">
          <cell r="A53" t="str">
            <v>09:Q1</v>
          </cell>
          <cell r="B53">
            <v>0.84299999999999997</v>
          </cell>
          <cell r="C53">
            <v>2.427</v>
          </cell>
          <cell r="D53">
            <v>3.27</v>
          </cell>
        </row>
        <row r="54">
          <cell r="E54">
            <v>0.71399999999999997</v>
          </cell>
          <cell r="F54">
            <v>0.63600000000000012</v>
          </cell>
          <cell r="G54">
            <v>1.35</v>
          </cell>
        </row>
        <row r="55">
          <cell r="A55" t="str">
            <v>09:Q2</v>
          </cell>
          <cell r="B55">
            <v>0.82399999999999995</v>
          </cell>
          <cell r="C55">
            <v>2.2160000000000002</v>
          </cell>
          <cell r="D55">
            <v>3.04</v>
          </cell>
        </row>
        <row r="56">
          <cell r="E56">
            <v>0.71299999999999997</v>
          </cell>
          <cell r="F56">
            <v>0.6170000000000001</v>
          </cell>
          <cell r="G56">
            <v>1.33</v>
          </cell>
        </row>
        <row r="57">
          <cell r="A57" t="str">
            <v>09:Q3</v>
          </cell>
          <cell r="B57">
            <v>0.81200000000000006</v>
          </cell>
          <cell r="C57">
            <v>2.1180000000000003</v>
          </cell>
          <cell r="D57">
            <v>2.9300000000000006</v>
          </cell>
        </row>
        <row r="58">
          <cell r="E58">
            <v>0.70799999999999996</v>
          </cell>
          <cell r="F58">
            <v>0.59200000000000008</v>
          </cell>
          <cell r="G58">
            <v>1.3</v>
          </cell>
        </row>
        <row r="59">
          <cell r="A59" t="str">
            <v>09:Q4</v>
          </cell>
          <cell r="B59">
            <v>0.8</v>
          </cell>
          <cell r="C59">
            <v>2.0699999999999998</v>
          </cell>
          <cell r="D59">
            <v>2.87</v>
          </cell>
        </row>
        <row r="60">
          <cell r="E60">
            <v>0.71</v>
          </cell>
          <cell r="F60">
            <v>0.56999999999999995</v>
          </cell>
          <cell r="G60">
            <v>1.2799999999999998</v>
          </cell>
        </row>
        <row r="61">
          <cell r="A61" t="str">
            <v>10:Q1</v>
          </cell>
          <cell r="B61">
            <v>0.76200000000000001</v>
          </cell>
          <cell r="C61">
            <v>1.9979999999999998</v>
          </cell>
          <cell r="D61">
            <v>2.76</v>
          </cell>
        </row>
        <row r="62">
          <cell r="E62">
            <v>0.69499999999999995</v>
          </cell>
          <cell r="F62">
            <v>0.56499999999999995</v>
          </cell>
          <cell r="G62">
            <v>1.2599999999999998</v>
          </cell>
        </row>
        <row r="63">
          <cell r="A63" t="str">
            <v>10:Q2</v>
          </cell>
          <cell r="B63">
            <v>0.74399999999999999</v>
          </cell>
          <cell r="C63">
            <v>1.9536</v>
          </cell>
          <cell r="D63">
            <v>2.6976</v>
          </cell>
        </row>
        <row r="64">
          <cell r="E64">
            <v>0.68300000000000005</v>
          </cell>
          <cell r="F64">
            <v>0.55840000000000001</v>
          </cell>
          <cell r="G64">
            <v>1.2414000000000001</v>
          </cell>
        </row>
        <row r="65">
          <cell r="A65" t="str">
            <v>10:Q3</v>
          </cell>
          <cell r="B65">
            <v>0.73099999999999998</v>
          </cell>
          <cell r="C65">
            <v>1.9490000000000003</v>
          </cell>
          <cell r="D65">
            <v>2.68</v>
          </cell>
        </row>
        <row r="66">
          <cell r="E66">
            <v>0.67300000000000004</v>
          </cell>
          <cell r="F66">
            <v>0.54699999999999993</v>
          </cell>
          <cell r="G66">
            <v>1.22</v>
          </cell>
        </row>
        <row r="67">
          <cell r="A67" t="str">
            <v>10:Q4</v>
          </cell>
          <cell r="B67">
            <v>0.73</v>
          </cell>
          <cell r="C67">
            <v>1.9300000000000002</v>
          </cell>
          <cell r="D67">
            <v>2.66</v>
          </cell>
        </row>
        <row r="68">
          <cell r="E68">
            <v>0.66800000000000004</v>
          </cell>
          <cell r="F68">
            <v>0.53199999999999992</v>
          </cell>
          <cell r="G68">
            <v>1.2</v>
          </cell>
        </row>
        <row r="69">
          <cell r="A69" t="str">
            <v>11:Q1</v>
          </cell>
          <cell r="B69">
            <v>0.69599999999999995</v>
          </cell>
          <cell r="C69">
            <v>1.998</v>
          </cell>
          <cell r="D69">
            <v>2.694</v>
          </cell>
        </row>
        <row r="70">
          <cell r="E70">
            <v>0.64100000000000001</v>
          </cell>
          <cell r="F70">
            <v>0.5089999999999999</v>
          </cell>
          <cell r="G70">
            <v>1.1499999999999999</v>
          </cell>
        </row>
        <row r="71">
          <cell r="A71" t="str">
            <v>11:Q2</v>
          </cell>
          <cell r="B71">
            <v>0.69399999999999995</v>
          </cell>
          <cell r="C71">
            <v>2.0529999999999999</v>
          </cell>
          <cell r="D71">
            <v>2.7469999999999999</v>
          </cell>
        </row>
        <row r="72">
          <cell r="E72">
            <v>0.625</v>
          </cell>
          <cell r="F72">
            <v>0.49399999999999999</v>
          </cell>
          <cell r="G72">
            <v>1.119</v>
          </cell>
        </row>
        <row r="73">
          <cell r="A73" t="str">
            <v>11:Q3</v>
          </cell>
          <cell r="B73">
            <v>0.69299999999999995</v>
          </cell>
          <cell r="C73">
            <v>2.0289999999999999</v>
          </cell>
          <cell r="D73">
            <v>2.722</v>
          </cell>
        </row>
        <row r="74">
          <cell r="E74">
            <v>0.63900000000000001</v>
          </cell>
          <cell r="F74">
            <v>0.51400000000000001</v>
          </cell>
          <cell r="G74">
            <v>1.153</v>
          </cell>
        </row>
        <row r="75">
          <cell r="A75" t="str">
            <v>11:Q4</v>
          </cell>
          <cell r="B75">
            <v>0.70399999999999996</v>
          </cell>
          <cell r="C75">
            <v>2.1160000000000001</v>
          </cell>
          <cell r="D75">
            <v>2.82</v>
          </cell>
        </row>
        <row r="76">
          <cell r="E76">
            <v>0.627</v>
          </cell>
          <cell r="F76">
            <v>0.50800000000000001</v>
          </cell>
          <cell r="G76">
            <v>1.135</v>
          </cell>
        </row>
        <row r="77">
          <cell r="A77" t="str">
            <v>12:Q1</v>
          </cell>
          <cell r="B77">
            <v>0.67900000000000005</v>
          </cell>
          <cell r="C77">
            <v>2.1309999999999998</v>
          </cell>
          <cell r="D77">
            <v>2.81</v>
          </cell>
        </row>
        <row r="78">
          <cell r="E78">
            <v>0.61199999999999999</v>
          </cell>
          <cell r="F78">
            <v>0.50700000000000001</v>
          </cell>
          <cell r="G78">
            <v>1.119</v>
          </cell>
        </row>
        <row r="79">
          <cell r="A79" t="str">
            <v>12:Q2</v>
          </cell>
          <cell r="B79">
            <v>0.67200000000000004</v>
          </cell>
          <cell r="C79">
            <v>2.1190000000000002</v>
          </cell>
          <cell r="D79">
            <v>2.7909999999999999</v>
          </cell>
        </row>
        <row r="80">
          <cell r="E80">
            <v>0.58899999999999997</v>
          </cell>
          <cell r="F80">
            <v>0.49299999999999999</v>
          </cell>
          <cell r="G80">
            <v>1.0820000000000001</v>
          </cell>
        </row>
        <row r="81">
          <cell r="A81" t="str">
            <v>12:Q3</v>
          </cell>
          <cell r="B81">
            <v>0.67400000000000004</v>
          </cell>
          <cell r="C81">
            <v>2.1080000000000001</v>
          </cell>
          <cell r="D81">
            <v>2.782</v>
          </cell>
        </row>
        <row r="82">
          <cell r="E82">
            <v>0.57299999999999995</v>
          </cell>
          <cell r="F82">
            <v>0.47399999999999998</v>
          </cell>
          <cell r="G82">
            <v>1.0469999999999999</v>
          </cell>
        </row>
        <row r="83">
          <cell r="A83" t="str">
            <v>12:Q4</v>
          </cell>
          <cell r="B83">
            <v>0.67900000000000005</v>
          </cell>
          <cell r="C83">
            <v>2.0939999999999999</v>
          </cell>
          <cell r="D83">
            <v>2.7730000000000001</v>
          </cell>
        </row>
        <row r="84">
          <cell r="E84">
            <v>0.56299999999999994</v>
          </cell>
          <cell r="F84">
            <v>0.48599999999999999</v>
          </cell>
          <cell r="G84">
            <v>1.0489999999999999</v>
          </cell>
        </row>
        <row r="85">
          <cell r="A85" t="str">
            <v>13:Q1</v>
          </cell>
          <cell r="B85">
            <v>0.66</v>
          </cell>
          <cell r="C85">
            <v>2.1139999999999999</v>
          </cell>
          <cell r="D85">
            <v>2.774</v>
          </cell>
        </row>
        <row r="86">
          <cell r="E86">
            <v>0.55200000000000005</v>
          </cell>
          <cell r="F86">
            <v>0.48599999999999999</v>
          </cell>
          <cell r="G86">
            <v>1.038</v>
          </cell>
        </row>
        <row r="87">
          <cell r="A87" t="str">
            <v>13:Q2</v>
          </cell>
          <cell r="B87">
            <v>0.66800000000000004</v>
          </cell>
          <cell r="C87">
            <v>2.133</v>
          </cell>
          <cell r="D87">
            <v>2.8010000000000002</v>
          </cell>
        </row>
        <row r="88">
          <cell r="E88">
            <v>0.54</v>
          </cell>
          <cell r="F88">
            <v>0.48</v>
          </cell>
          <cell r="G88">
            <v>1.02</v>
          </cell>
        </row>
        <row r="89">
          <cell r="A89" t="str">
            <v>13:Q3</v>
          </cell>
          <cell r="B89">
            <v>0.67200000000000004</v>
          </cell>
          <cell r="C89">
            <v>2.1629999999999998</v>
          </cell>
          <cell r="D89">
            <v>2.835</v>
          </cell>
        </row>
        <row r="90">
          <cell r="E90">
            <v>0.53500000000000003</v>
          </cell>
          <cell r="F90">
            <v>0.47599999999999998</v>
          </cell>
          <cell r="G90">
            <v>1.0109999999999999</v>
          </cell>
        </row>
        <row r="91">
          <cell r="A91" t="str">
            <v>13:Q4</v>
          </cell>
          <cell r="B91">
            <v>0.68300000000000005</v>
          </cell>
          <cell r="C91">
            <v>2.222</v>
          </cell>
          <cell r="D91">
            <v>2.9049999999999998</v>
          </cell>
        </row>
        <row r="92">
          <cell r="E92">
            <v>0.52900000000000003</v>
          </cell>
          <cell r="F92">
            <v>0.47199999999999998</v>
          </cell>
          <cell r="G92">
            <v>1.0009999999999999</v>
          </cell>
        </row>
        <row r="93">
          <cell r="A93" t="str">
            <v>14:Q1</v>
          </cell>
          <cell r="B93">
            <v>0.65900000000000003</v>
          </cell>
          <cell r="C93">
            <v>2.254</v>
          </cell>
          <cell r="D93">
            <v>2.9129999999999998</v>
          </cell>
        </row>
        <row r="94">
          <cell r="E94">
            <v>0.52600000000000002</v>
          </cell>
          <cell r="F94">
            <v>0.47199999999999998</v>
          </cell>
          <cell r="G94">
            <v>0.998</v>
          </cell>
        </row>
        <row r="95">
          <cell r="A95" t="str">
            <v>14:Q2</v>
          </cell>
          <cell r="B95">
            <v>0.66900000000000004</v>
          </cell>
          <cell r="C95">
            <v>2.2719999999999998</v>
          </cell>
          <cell r="D95">
            <v>2.9409999999999998</v>
          </cell>
        </row>
        <row r="96">
          <cell r="E96">
            <v>0.52100000000000002</v>
          </cell>
          <cell r="F96">
            <v>0.47</v>
          </cell>
          <cell r="G96">
            <v>0.99099999999999999</v>
          </cell>
        </row>
        <row r="97">
          <cell r="A97" t="str">
            <v>14:Q3</v>
          </cell>
          <cell r="B97">
            <v>0.68</v>
          </cell>
          <cell r="C97">
            <v>2.286</v>
          </cell>
          <cell r="D97">
            <v>2.9660000000000002</v>
          </cell>
        </row>
        <row r="98">
          <cell r="E98">
            <v>0.51200000000000001</v>
          </cell>
          <cell r="F98">
            <v>0.47499999999999998</v>
          </cell>
          <cell r="G98">
            <v>0.98699999999999999</v>
          </cell>
        </row>
        <row r="99">
          <cell r="A99" t="str">
            <v>14:Q4</v>
          </cell>
          <cell r="B99">
            <v>0.7</v>
          </cell>
          <cell r="C99">
            <v>2.2869999999999999</v>
          </cell>
          <cell r="D99">
            <v>2.9870000000000001</v>
          </cell>
        </row>
        <row r="100">
          <cell r="E100">
            <v>0.51</v>
          </cell>
          <cell r="F100">
            <v>0.48299999999999998</v>
          </cell>
          <cell r="G100">
            <v>0.99299999999999999</v>
          </cell>
        </row>
        <row r="101">
          <cell r="A101" t="str">
            <v>15:Q1</v>
          </cell>
          <cell r="B101">
            <v>0.68400000000000005</v>
          </cell>
          <cell r="C101">
            <v>2.331</v>
          </cell>
          <cell r="D101">
            <v>3.0150000000000001</v>
          </cell>
        </row>
        <row r="102">
          <cell r="E102">
            <v>0.51</v>
          </cell>
          <cell r="F102">
            <v>0.47499999999999998</v>
          </cell>
          <cell r="G102">
            <v>0.98499999999999999</v>
          </cell>
        </row>
        <row r="103">
          <cell r="A103" t="str">
            <v>15:Q2</v>
          </cell>
          <cell r="B103">
            <v>0.70299999999999996</v>
          </cell>
          <cell r="C103">
            <v>2.36</v>
          </cell>
          <cell r="D103">
            <v>3.0630000000000002</v>
          </cell>
        </row>
        <row r="104">
          <cell r="E104">
            <v>0.499</v>
          </cell>
          <cell r="F104">
            <v>0.48099999999999998</v>
          </cell>
          <cell r="G104">
            <v>0.98</v>
          </cell>
        </row>
        <row r="105">
          <cell r="A105" t="str">
            <v>15:Q3</v>
          </cell>
          <cell r="B105">
            <v>0.71399999999999997</v>
          </cell>
          <cell r="C105">
            <v>2.3919999999999999</v>
          </cell>
          <cell r="D105">
            <v>3.1059999999999999</v>
          </cell>
        </row>
        <row r="106">
          <cell r="E106">
            <v>0.49199999999999999</v>
          </cell>
          <cell r="F106">
            <v>0.48599999999999999</v>
          </cell>
          <cell r="G106">
            <v>0.97799999999999998</v>
          </cell>
        </row>
        <row r="107">
          <cell r="A107" t="str">
            <v>15:Q4</v>
          </cell>
          <cell r="B107">
            <v>0.73299999999999998</v>
          </cell>
          <cell r="C107">
            <v>2.3929999999999998</v>
          </cell>
          <cell r="D107">
            <v>3.1259999999999999</v>
          </cell>
        </row>
        <row r="108">
          <cell r="E108">
            <v>0.48699999999999999</v>
          </cell>
          <cell r="F108">
            <v>0.48099999999999998</v>
          </cell>
          <cell r="G108">
            <v>0.96799999999999997</v>
          </cell>
        </row>
        <row r="109">
          <cell r="A109" t="str">
            <v>16:Q1</v>
          </cell>
          <cell r="B109">
            <v>0.71199999999999997</v>
          </cell>
          <cell r="C109">
            <v>2.4820000000000002</v>
          </cell>
          <cell r="D109">
            <v>3.194</v>
          </cell>
        </row>
        <row r="110">
          <cell r="E110">
            <v>0.48499999999999999</v>
          </cell>
          <cell r="F110">
            <v>0.48399999999999999</v>
          </cell>
          <cell r="G110">
            <v>0.96899999999999997</v>
          </cell>
        </row>
        <row r="111">
          <cell r="A111" t="str">
            <v>16:Q2</v>
          </cell>
          <cell r="B111">
            <v>0.72899999999999998</v>
          </cell>
          <cell r="C111">
            <v>2.4900000000000002</v>
          </cell>
          <cell r="D111">
            <v>3.2189999999999999</v>
          </cell>
        </row>
        <row r="112">
          <cell r="E112">
            <v>0.47799999999999998</v>
          </cell>
          <cell r="F112">
            <v>0.49</v>
          </cell>
          <cell r="G112">
            <v>0.96799999999999997</v>
          </cell>
        </row>
        <row r="113">
          <cell r="A113" t="str">
            <v>16:Q3</v>
          </cell>
          <cell r="B113">
            <v>0.747</v>
          </cell>
          <cell r="C113">
            <v>2.5230000000000001</v>
          </cell>
          <cell r="D113">
            <v>3.27</v>
          </cell>
        </row>
        <row r="114">
          <cell r="E114">
            <v>0.47199999999999998</v>
          </cell>
          <cell r="F114">
            <v>0.48699999999999999</v>
          </cell>
          <cell r="G114">
            <v>0.95899999999999996</v>
          </cell>
        </row>
        <row r="115">
          <cell r="A115" t="str">
            <v>16:Q4</v>
          </cell>
          <cell r="B115">
            <v>0.77900000000000003</v>
          </cell>
          <cell r="C115">
            <v>2.5670000000000002</v>
          </cell>
          <cell r="D115">
            <v>3.3460000000000001</v>
          </cell>
        </row>
        <row r="116">
          <cell r="E116">
            <v>0.47299999999999998</v>
          </cell>
          <cell r="F116">
            <v>0.48499999999999999</v>
          </cell>
          <cell r="G116">
            <v>0.95799999999999996</v>
          </cell>
        </row>
        <row r="117">
          <cell r="A117" t="str">
            <v>17:Q1</v>
          </cell>
          <cell r="B117">
            <v>0.76400000000000001</v>
          </cell>
          <cell r="C117">
            <v>2.6179999999999999</v>
          </cell>
          <cell r="D117">
            <v>3.3820000000000001</v>
          </cell>
        </row>
        <row r="118">
          <cell r="E118">
            <v>0.45600000000000002</v>
          </cell>
          <cell r="F118">
            <v>0.48299999999999998</v>
          </cell>
          <cell r="G118">
            <v>0.93899999999999995</v>
          </cell>
        </row>
        <row r="119">
          <cell r="A119" t="str">
            <v>17:Q2</v>
          </cell>
          <cell r="B119">
            <v>0.78400000000000003</v>
          </cell>
          <cell r="C119">
            <v>2.6509999999999998</v>
          </cell>
          <cell r="D119">
            <v>3.4350000000000001</v>
          </cell>
        </row>
        <row r="120">
          <cell r="E120">
            <v>0.45200000000000001</v>
          </cell>
          <cell r="F120">
            <v>0.49</v>
          </cell>
          <cell r="G120">
            <v>0.94199999999999995</v>
          </cell>
        </row>
        <row r="121">
          <cell r="A121" t="str">
            <v>17:Q3</v>
          </cell>
          <cell r="B121">
            <v>0.80800000000000005</v>
          </cell>
          <cell r="C121">
            <v>2.68</v>
          </cell>
          <cell r="D121">
            <v>3.488</v>
          </cell>
        </row>
        <row r="122">
          <cell r="E122">
            <v>0.44800000000000001</v>
          </cell>
          <cell r="F122">
            <v>0.49</v>
          </cell>
          <cell r="G122">
            <v>0.93799999999999994</v>
          </cell>
        </row>
        <row r="123">
          <cell r="A123" t="str">
            <v>17:Q4</v>
          </cell>
          <cell r="B123">
            <v>0.83399999999999996</v>
          </cell>
          <cell r="C123">
            <v>2.6890000000000001</v>
          </cell>
          <cell r="D123">
            <v>3.5230000000000001</v>
          </cell>
        </row>
        <row r="124">
          <cell r="E124">
            <v>0.44400000000000001</v>
          </cell>
          <cell r="F124">
            <v>0.49099999999999999</v>
          </cell>
          <cell r="G124">
            <v>0.93500000000000005</v>
          </cell>
        </row>
        <row r="125">
          <cell r="A125" t="str">
            <v>18:Q1</v>
          </cell>
          <cell r="B125">
            <v>0.81499999999999995</v>
          </cell>
          <cell r="C125">
            <v>2.7210000000000001</v>
          </cell>
          <cell r="D125">
            <v>3.536</v>
          </cell>
        </row>
        <row r="126">
          <cell r="E126">
            <v>0.436</v>
          </cell>
          <cell r="F126">
            <v>0.504</v>
          </cell>
          <cell r="G126">
            <v>0.94</v>
          </cell>
        </row>
        <row r="127">
          <cell r="A127" t="str">
            <v>18:Q2</v>
          </cell>
          <cell r="B127">
            <v>0.82899999999999996</v>
          </cell>
          <cell r="C127">
            <v>2.7549999999999999</v>
          </cell>
          <cell r="D127">
            <v>3.5840000000000001</v>
          </cell>
        </row>
        <row r="128">
          <cell r="E128">
            <v>0.432</v>
          </cell>
          <cell r="F128">
            <v>0.51100000000000001</v>
          </cell>
          <cell r="G128">
            <v>0.94299999999999995</v>
          </cell>
        </row>
        <row r="129">
          <cell r="A129" t="str">
            <v>18:Q3</v>
          </cell>
          <cell r="B129">
            <v>0.84399999999999997</v>
          </cell>
          <cell r="C129">
            <v>2.786</v>
          </cell>
          <cell r="D129">
            <v>3.63</v>
          </cell>
        </row>
        <row r="130">
          <cell r="E130">
            <v>0.42199999999999999</v>
          </cell>
          <cell r="F130">
            <v>0.51400000000000001</v>
          </cell>
          <cell r="G130">
            <v>0.93600000000000005</v>
          </cell>
        </row>
        <row r="131">
          <cell r="A131" t="str">
            <v>18:Q4</v>
          </cell>
          <cell r="B131">
            <v>0.87</v>
          </cell>
          <cell r="C131">
            <v>2.8159999999999998</v>
          </cell>
          <cell r="D131">
            <v>3.6859999999999999</v>
          </cell>
        </row>
        <row r="132">
          <cell r="E132">
            <v>0.41199999999999998</v>
          </cell>
          <cell r="F132">
            <v>0.52</v>
          </cell>
          <cell r="G132">
            <v>0.93200000000000005</v>
          </cell>
        </row>
        <row r="133">
          <cell r="A133" t="str">
            <v>19:Q1</v>
          </cell>
          <cell r="B133">
            <v>0.84799999999999998</v>
          </cell>
          <cell r="C133">
            <v>2.8849999999999998</v>
          </cell>
          <cell r="D133">
            <v>3.7330000000000001</v>
          </cell>
        </row>
        <row r="134">
          <cell r="E134">
            <v>0.40600000000000003</v>
          </cell>
          <cell r="F134">
            <v>0.52700000000000002</v>
          </cell>
          <cell r="G134">
            <v>0.93300000000000005</v>
          </cell>
        </row>
        <row r="135">
          <cell r="A135" t="str">
            <v>19:Q2</v>
          </cell>
          <cell r="B135">
            <v>0.86799999999999999</v>
          </cell>
          <cell r="C135">
            <v>2.9060000000000001</v>
          </cell>
          <cell r="D135">
            <v>3.774</v>
          </cell>
        </row>
        <row r="136">
          <cell r="E136">
            <v>0.39900000000000002</v>
          </cell>
          <cell r="F136">
            <v>0.53100000000000003</v>
          </cell>
          <cell r="G136">
            <v>0.93</v>
          </cell>
        </row>
        <row r="137">
          <cell r="A137" t="str">
            <v>19:Q3</v>
          </cell>
          <cell r="B137">
            <v>0.88100000000000001</v>
          </cell>
          <cell r="C137">
            <v>2.92</v>
          </cell>
          <cell r="D137">
            <v>3.8010000000000002</v>
          </cell>
        </row>
        <row r="138">
          <cell r="E138">
            <v>0.39600000000000002</v>
          </cell>
          <cell r="F138">
            <v>0.52800000000000002</v>
          </cell>
          <cell r="G138">
            <v>0.92400000000000004</v>
          </cell>
        </row>
        <row r="139">
          <cell r="A139" t="str">
            <v>19:Q4</v>
          </cell>
          <cell r="B139">
            <v>0.92700000000000005</v>
          </cell>
          <cell r="C139">
            <v>2.97</v>
          </cell>
          <cell r="D139">
            <v>3.8969999999999998</v>
          </cell>
        </row>
        <row r="140">
          <cell r="E140">
            <v>0.39</v>
          </cell>
          <cell r="F140">
            <v>0.52300000000000002</v>
          </cell>
          <cell r="G140">
            <v>0.91300000000000003</v>
          </cell>
        </row>
        <row r="141">
          <cell r="A141" t="str">
            <v>20:Q1</v>
          </cell>
          <cell r="B141">
            <v>0.89300000000000002</v>
          </cell>
          <cell r="C141">
            <v>3.0379999999999998</v>
          </cell>
          <cell r="D141">
            <v>3.931</v>
          </cell>
        </row>
        <row r="142">
          <cell r="E142">
            <v>0.38600000000000001</v>
          </cell>
          <cell r="F142">
            <v>0.52600000000000002</v>
          </cell>
          <cell r="G142">
            <v>0.91200000000000003</v>
          </cell>
        </row>
        <row r="143">
          <cell r="A143" t="str">
            <v>20:Q2</v>
          </cell>
          <cell r="B143">
            <v>0.81699999999999995</v>
          </cell>
          <cell r="C143">
            <v>3.0609999999999999</v>
          </cell>
          <cell r="D143">
            <v>3.8780000000000001</v>
          </cell>
        </row>
        <row r="144">
          <cell r="E144">
            <v>0.375</v>
          </cell>
          <cell r="F144">
            <v>0.53</v>
          </cell>
          <cell r="G144">
            <v>0.90500000000000003</v>
          </cell>
        </row>
        <row r="145">
          <cell r="A145" t="str">
            <v>20:Q3</v>
          </cell>
          <cell r="B145">
            <v>0.80700000000000005</v>
          </cell>
          <cell r="C145">
            <v>3.04</v>
          </cell>
          <cell r="D145">
            <v>3.847</v>
          </cell>
        </row>
        <row r="146">
          <cell r="E146">
            <v>0.36199999999999999</v>
          </cell>
          <cell r="F146">
            <v>0.52700000000000002</v>
          </cell>
          <cell r="G146">
            <v>0.88900000000000001</v>
          </cell>
        </row>
        <row r="147">
          <cell r="A147" t="str">
            <v>20:Q4</v>
          </cell>
          <cell r="B147">
            <v>0.81899999999999995</v>
          </cell>
          <cell r="C147">
            <v>3.0179999999999998</v>
          </cell>
          <cell r="D147">
            <v>3.8370000000000002</v>
          </cell>
        </row>
        <row r="148">
          <cell r="E148">
            <v>0.34899999999999998</v>
          </cell>
          <cell r="F148">
            <v>0.52600000000000002</v>
          </cell>
          <cell r="G148">
            <v>0.875</v>
          </cell>
        </row>
        <row r="149">
          <cell r="A149" t="str">
            <v>21:Q1</v>
          </cell>
          <cell r="B149">
            <v>0.77</v>
          </cell>
          <cell r="C149">
            <v>3.0670000000000002</v>
          </cell>
          <cell r="D149">
            <v>3.8370000000000002</v>
          </cell>
        </row>
        <row r="150">
          <cell r="E150">
            <v>0.33500000000000002</v>
          </cell>
          <cell r="F150">
            <v>0.52500000000000002</v>
          </cell>
          <cell r="G150">
            <v>0.86</v>
          </cell>
        </row>
        <row r="151">
          <cell r="A151" t="str">
            <v>21:Q2</v>
          </cell>
          <cell r="B151">
            <v>0.78700000000000003</v>
          </cell>
          <cell r="C151">
            <v>3.0859999999999999</v>
          </cell>
          <cell r="D151">
            <v>3.8730000000000002</v>
          </cell>
        </row>
        <row r="152">
          <cell r="E152">
            <v>0.32200000000000001</v>
          </cell>
          <cell r="F152">
            <v>0.52500000000000002</v>
          </cell>
          <cell r="G152">
            <v>0.84699999999999998</v>
          </cell>
        </row>
        <row r="153">
          <cell r="A153" t="str">
            <v>21:Q3</v>
          </cell>
          <cell r="B153">
            <v>0.80400000000000005</v>
          </cell>
          <cell r="C153">
            <v>3.157</v>
          </cell>
          <cell r="D153">
            <v>3.9609999999999999</v>
          </cell>
        </row>
        <row r="154">
          <cell r="E154">
            <v>0.317</v>
          </cell>
          <cell r="F154">
            <v>0.52</v>
          </cell>
          <cell r="G154">
            <v>0.83699999999999997</v>
          </cell>
        </row>
        <row r="155">
          <cell r="A155" t="str">
            <v>21:Q4</v>
          </cell>
          <cell r="B155">
            <v>0.85599999999999998</v>
          </cell>
          <cell r="C155">
            <v>3.2010000000000001</v>
          </cell>
          <cell r="D155">
            <v>4.0570000000000004</v>
          </cell>
        </row>
        <row r="156">
          <cell r="E156">
            <v>0.318</v>
          </cell>
          <cell r="F156">
            <v>0.52700000000000002</v>
          </cell>
          <cell r="G156">
            <v>0.84499999999999997</v>
          </cell>
        </row>
        <row r="157">
          <cell r="A157" t="str">
            <v>22:Q1</v>
          </cell>
          <cell r="B157">
            <v>0.84099999999999997</v>
          </cell>
          <cell r="C157">
            <v>3.28</v>
          </cell>
          <cell r="D157">
            <v>4.1210000000000004</v>
          </cell>
        </row>
        <row r="158">
          <cell r="E158">
            <v>0.317</v>
          </cell>
          <cell r="F158">
            <v>0.52200000000000002</v>
          </cell>
          <cell r="G158">
            <v>0.83899999999999997</v>
          </cell>
        </row>
        <row r="159">
          <cell r="A159" t="str">
            <v>22:Q2</v>
          </cell>
          <cell r="B159">
            <v>0.88700000000000001</v>
          </cell>
          <cell r="C159">
            <v>3.3340000000000001</v>
          </cell>
          <cell r="D159">
            <v>4.2210000000000001</v>
          </cell>
        </row>
        <row r="160">
          <cell r="E160">
            <v>0.31900000000000001</v>
          </cell>
          <cell r="F160">
            <v>0.53800000000000003</v>
          </cell>
          <cell r="G160">
            <v>0.85699999999999998</v>
          </cell>
        </row>
        <row r="161">
          <cell r="A161" t="str">
            <v>22:Q3</v>
          </cell>
          <cell r="B161">
            <v>0.92500000000000004</v>
          </cell>
          <cell r="C161">
            <v>3.3780000000000001</v>
          </cell>
          <cell r="D161">
            <v>4.3029999999999999</v>
          </cell>
        </row>
        <row r="162">
          <cell r="E162">
            <v>0.32200000000000001</v>
          </cell>
          <cell r="F162">
            <v>0.53600000000000003</v>
          </cell>
          <cell r="G162">
            <v>0.85799999999999998</v>
          </cell>
        </row>
        <row r="163">
          <cell r="A163" t="str">
            <v>22:Q4</v>
          </cell>
          <cell r="B163">
            <v>0.98599999999999999</v>
          </cell>
          <cell r="C163">
            <v>3.4049999999999998</v>
          </cell>
          <cell r="D163">
            <v>4.391</v>
          </cell>
        </row>
        <row r="164">
          <cell r="E164">
            <v>0.33600000000000002</v>
          </cell>
          <cell r="F164">
            <v>0.55400000000000005</v>
          </cell>
          <cell r="G164">
            <v>0.89</v>
          </cell>
        </row>
        <row r="165">
          <cell r="A165" t="str">
            <v>23:Q1</v>
          </cell>
          <cell r="B165">
            <v>0.98599999999999999</v>
          </cell>
          <cell r="C165">
            <v>3.524</v>
          </cell>
          <cell r="D165">
            <v>4.51</v>
          </cell>
        </row>
        <row r="166">
          <cell r="E166">
            <v>0.33900000000000002</v>
          </cell>
          <cell r="F166">
            <v>0.56000000000000005</v>
          </cell>
          <cell r="G166">
            <v>0.89900000000000002</v>
          </cell>
        </row>
        <row r="167">
          <cell r="A167" t="str">
            <v>23:Q2</v>
          </cell>
          <cell r="B167">
            <v>1.0309999999999999</v>
          </cell>
          <cell r="C167">
            <v>3.569</v>
          </cell>
          <cell r="D167">
            <v>4.5999999999999996</v>
          </cell>
        </row>
        <row r="168">
          <cell r="E168">
            <v>0.34</v>
          </cell>
          <cell r="F168">
            <v>0.56499999999999995</v>
          </cell>
          <cell r="G168">
            <v>0.90500000000000003</v>
          </cell>
        </row>
        <row r="169">
          <cell r="A169" t="str">
            <v>23:Q3</v>
          </cell>
          <cell r="B169">
            <v>1.079</v>
          </cell>
          <cell r="C169">
            <v>3.6339999999999999</v>
          </cell>
          <cell r="D169">
            <v>4.7130000000000001</v>
          </cell>
        </row>
        <row r="170">
          <cell r="E170">
            <v>0.34899999999999998</v>
          </cell>
          <cell r="F170">
            <v>0.55700000000000005</v>
          </cell>
          <cell r="G170">
            <v>0.90600000000000003</v>
          </cell>
        </row>
        <row r="171">
          <cell r="A171" t="str">
            <v>23:Q4</v>
          </cell>
          <cell r="B171">
            <v>1.129</v>
          </cell>
          <cell r="C171">
            <v>3.6579999999999999</v>
          </cell>
          <cell r="D171">
            <v>4.7869999999999999</v>
          </cell>
        </row>
        <row r="172">
          <cell r="E172">
            <v>0.36</v>
          </cell>
          <cell r="F172">
            <v>0.56999999999999995</v>
          </cell>
          <cell r="G172">
            <v>0.93</v>
          </cell>
        </row>
        <row r="173">
          <cell r="A173" t="str">
            <v>24:Q1</v>
          </cell>
          <cell r="B173">
            <v>1.115</v>
          </cell>
          <cell r="C173">
            <v>3.7349999999999999</v>
          </cell>
          <cell r="D173">
            <v>4.8499999999999996</v>
          </cell>
        </row>
        <row r="174">
          <cell r="E174">
            <v>0.376</v>
          </cell>
          <cell r="F174">
            <v>0.58399999999999996</v>
          </cell>
          <cell r="G174">
            <v>0.96</v>
          </cell>
        </row>
        <row r="175">
          <cell r="A175" t="str">
            <v>24:Q2</v>
          </cell>
          <cell r="B175">
            <v>1.1419999999999999</v>
          </cell>
          <cell r="C175">
            <v>3.7770000000000001</v>
          </cell>
          <cell r="D175">
            <v>4.9189999999999996</v>
          </cell>
        </row>
        <row r="176">
          <cell r="E176">
            <v>0.38</v>
          </cell>
          <cell r="F176">
            <v>0.58299999999999996</v>
          </cell>
          <cell r="G176">
            <v>0.96299999999999997</v>
          </cell>
        </row>
        <row r="177">
          <cell r="A177" t="str">
            <v>24:Q3</v>
          </cell>
          <cell r="B177">
            <v>1.1659999999999999</v>
          </cell>
          <cell r="C177">
            <v>3.8159999999999998</v>
          </cell>
          <cell r="D177">
            <v>4.9820000000000002</v>
          </cell>
        </row>
        <row r="178">
          <cell r="E178">
            <v>0.38700000000000001</v>
          </cell>
          <cell r="F178">
            <v>0.58499999999999996</v>
          </cell>
          <cell r="G178">
            <v>0.97199999999999998</v>
          </cell>
        </row>
        <row r="179">
          <cell r="A179" t="str">
            <v>24:Q4</v>
          </cell>
          <cell r="B179">
            <v>1.2110000000000001</v>
          </cell>
          <cell r="C179">
            <v>3.8690000000000002</v>
          </cell>
          <cell r="D179">
            <v>5.08</v>
          </cell>
        </row>
        <row r="180">
          <cell r="E180">
            <v>0.39600000000000002</v>
          </cell>
          <cell r="F180">
            <v>0.58399999999999996</v>
          </cell>
          <cell r="G180">
            <v>0.98</v>
          </cell>
        </row>
        <row r="181">
          <cell r="A181" t="str">
            <v>25:Q1</v>
          </cell>
          <cell r="B181">
            <v>1.1819999999999999</v>
          </cell>
          <cell r="C181">
            <v>3.9750000000000001</v>
          </cell>
          <cell r="D181">
            <v>5.157</v>
          </cell>
        </row>
        <row r="182">
          <cell r="E182">
            <v>0.40200000000000002</v>
          </cell>
          <cell r="F182">
            <v>0.58099999999999996</v>
          </cell>
          <cell r="G182">
            <v>0.98299999999999998</v>
          </cell>
        </row>
        <row r="183">
          <cell r="A183" t="str">
            <v>25:Q2</v>
          </cell>
          <cell r="B183">
            <v>1.2090000000000001</v>
          </cell>
          <cell r="C183">
            <v>4.0259999999999998</v>
          </cell>
          <cell r="D183">
            <v>5.2350000000000003</v>
          </cell>
        </row>
        <row r="184">
          <cell r="E184">
            <v>0.41099999999999998</v>
          </cell>
          <cell r="F184">
            <v>0.59</v>
          </cell>
          <cell r="G184">
            <v>1.0009999999999999</v>
          </cell>
        </row>
        <row r="185">
          <cell r="A185" t="str">
            <v>25:Q3</v>
          </cell>
          <cell r="B185">
            <v>1.2330000000000001</v>
          </cell>
          <cell r="C185">
            <v>4.0960000000000001</v>
          </cell>
          <cell r="D185">
            <v>5.3289999999999997</v>
          </cell>
        </row>
        <row r="186">
          <cell r="E186">
            <v>0.42199999999999999</v>
          </cell>
          <cell r="F186">
            <v>0.58699999999999997</v>
          </cell>
          <cell r="G186">
            <v>1.0089999999999999</v>
          </cell>
        </row>
        <row r="187">
          <cell r="A187" t="str">
            <v>25:Q4</v>
          </cell>
          <cell r="B187">
            <v>1.2769999999999999</v>
          </cell>
          <cell r="C187">
            <v>4.1470000000000002</v>
          </cell>
          <cell r="D187">
            <v>5.4240000000000004</v>
          </cell>
        </row>
        <row r="188">
          <cell r="E188">
            <v>0.434</v>
          </cell>
          <cell r="F188">
            <v>0.6</v>
          </cell>
          <cell r="G188">
            <v>1.034</v>
          </cell>
        </row>
        <row r="189">
          <cell r="A189" t="str">
            <v>26:Q1</v>
          </cell>
          <cell r="B189">
            <v>1.252</v>
          </cell>
          <cell r="C189">
            <v>4.2320000000000002</v>
          </cell>
          <cell r="D189">
            <v>5.484</v>
          </cell>
        </row>
        <row r="190">
          <cell r="E190">
            <v>0.44600000000000001</v>
          </cell>
          <cell r="F190">
            <v>0.60199999999999998</v>
          </cell>
          <cell r="G190">
            <v>1.048</v>
          </cell>
        </row>
      </sheetData>
      <sheetData sheetId="17" refreshError="1"/>
      <sheetData sheetId="18">
        <row r="1">
          <cell r="A1" t="str">
            <v>Total Balance by Delinquency Status</v>
          </cell>
        </row>
        <row r="2">
          <cell r="A2" t="str">
            <v>Percent</v>
          </cell>
        </row>
        <row r="3">
          <cell r="A3" t="str">
            <v>Return to Table of Contents</v>
          </cell>
        </row>
        <row r="4">
          <cell r="B4" t="str">
            <v>Current</v>
          </cell>
          <cell r="C4" t="str">
            <v>30 days late</v>
          </cell>
          <cell r="D4" t="str">
            <v>60 days late</v>
          </cell>
          <cell r="E4" t="str">
            <v>90 days late</v>
          </cell>
          <cell r="F4" t="str">
            <v>120+ days late</v>
          </cell>
          <cell r="G4" t="str">
            <v>Severely Derogatory</v>
          </cell>
        </row>
        <row r="5">
          <cell r="A5" t="str">
            <v>03:Q1</v>
          </cell>
          <cell r="B5">
            <v>95.078607877812516</v>
          </cell>
          <cell r="C5">
            <v>1.8003329308035882</v>
          </cell>
          <cell r="D5">
            <v>0.55215861263305743</v>
          </cell>
          <cell r="E5">
            <v>0.28420213488691631</v>
          </cell>
          <cell r="F5">
            <v>0.80702446716354859</v>
          </cell>
          <cell r="G5">
            <v>1.4776739767003788</v>
          </cell>
        </row>
        <row r="6">
          <cell r="A6" t="str">
            <v>03:Q2</v>
          </cell>
          <cell r="B6">
            <v>95.34128020193171</v>
          </cell>
          <cell r="C6">
            <v>1.6329657527117225</v>
          </cell>
          <cell r="D6">
            <v>0.53227448573770564</v>
          </cell>
          <cell r="E6">
            <v>0.25988244503909824</v>
          </cell>
          <cell r="F6">
            <v>0.79570786692284012</v>
          </cell>
          <cell r="G6">
            <v>1.4378892476569243</v>
          </cell>
        </row>
        <row r="7">
          <cell r="A7" t="str">
            <v>03:Q3</v>
          </cell>
          <cell r="B7">
            <v>95.440099586673966</v>
          </cell>
          <cell r="C7">
            <v>1.6391223066558678</v>
          </cell>
          <cell r="D7">
            <v>0.52558161501653433</v>
          </cell>
          <cell r="E7">
            <v>0.25767051677643715</v>
          </cell>
          <cell r="F7">
            <v>0.79659270816283634</v>
          </cell>
          <cell r="G7">
            <v>1.3409332667143545</v>
          </cell>
        </row>
        <row r="8">
          <cell r="A8" t="str">
            <v>03:Q4</v>
          </cell>
          <cell r="B8">
            <v>95.532866012161904</v>
          </cell>
          <cell r="C8">
            <v>1.6012634048123893</v>
          </cell>
          <cell r="D8">
            <v>0.51090000456998286</v>
          </cell>
          <cell r="E8">
            <v>0.26675397819608226</v>
          </cell>
          <cell r="F8">
            <v>0.7252660724514377</v>
          </cell>
          <cell r="G8">
            <v>1.3629505278081964</v>
          </cell>
        </row>
        <row r="9">
          <cell r="A9" t="str">
            <v>04:Q1</v>
          </cell>
          <cell r="B9">
            <v>95.719483239383749</v>
          </cell>
          <cell r="C9">
            <v>1.4996885410387204</v>
          </cell>
          <cell r="D9">
            <v>0.46786452928407224</v>
          </cell>
          <cell r="E9">
            <v>0.23495243218324596</v>
          </cell>
          <cell r="F9">
            <v>0.73439989978453579</v>
          </cell>
          <cell r="G9">
            <v>1.3436113583256755</v>
          </cell>
        </row>
        <row r="10">
          <cell r="A10" t="str">
            <v>04:Q2</v>
          </cell>
          <cell r="B10">
            <v>95.740432539100425</v>
          </cell>
          <cell r="C10">
            <v>1.5341013622007835</v>
          </cell>
          <cell r="D10">
            <v>0.50532136922716586</v>
          </cell>
          <cell r="E10">
            <v>0.2162773567791472</v>
          </cell>
          <cell r="F10">
            <v>0.6989242008247093</v>
          </cell>
          <cell r="G10">
            <v>1.3049431718677675</v>
          </cell>
        </row>
        <row r="11">
          <cell r="A11" t="str">
            <v>04:Q3</v>
          </cell>
          <cell r="B11">
            <v>95.722403465912848</v>
          </cell>
          <cell r="C11">
            <v>1.5378361332958976</v>
          </cell>
          <cell r="D11">
            <v>0.49472272152056757</v>
          </cell>
          <cell r="E11">
            <v>0.23598809895537923</v>
          </cell>
          <cell r="F11">
            <v>0.71514979560486158</v>
          </cell>
          <cell r="G11">
            <v>1.2938997847104441</v>
          </cell>
        </row>
        <row r="12">
          <cell r="A12" t="str">
            <v>04:Q4</v>
          </cell>
          <cell r="B12">
            <v>95.744158116750455</v>
          </cell>
          <cell r="C12">
            <v>1.4743542354566577</v>
          </cell>
          <cell r="D12">
            <v>0.51871655860210031</v>
          </cell>
          <cell r="E12">
            <v>0.24233185730430737</v>
          </cell>
          <cell r="F12">
            <v>0.70086662661925314</v>
          </cell>
          <cell r="G12">
            <v>1.3195726052672236</v>
          </cell>
        </row>
        <row r="13">
          <cell r="A13" t="str">
            <v>05:Q1</v>
          </cell>
          <cell r="B13">
            <v>95.883176270125531</v>
          </cell>
          <cell r="C13">
            <v>1.4825520742775673</v>
          </cell>
          <cell r="D13">
            <v>0.42770021212226589</v>
          </cell>
          <cell r="E13">
            <v>0.22053326146677329</v>
          </cell>
          <cell r="F13">
            <v>0.67201029314601668</v>
          </cell>
          <cell r="G13">
            <v>1.3140278888618424</v>
          </cell>
        </row>
        <row r="14">
          <cell r="A14" t="str">
            <v>05:Q2</v>
          </cell>
          <cell r="B14">
            <v>96.165676241041837</v>
          </cell>
          <cell r="C14">
            <v>1.4101123935088375</v>
          </cell>
          <cell r="D14">
            <v>0.40356228104971381</v>
          </cell>
          <cell r="E14">
            <v>0.21083217662744616</v>
          </cell>
          <cell r="F14">
            <v>0.63019684938074827</v>
          </cell>
          <cell r="G14">
            <v>1.1796200583914196</v>
          </cell>
        </row>
        <row r="15">
          <cell r="A15" t="str">
            <v>05:Q3</v>
          </cell>
          <cell r="B15">
            <v>95.99842986545687</v>
          </cell>
          <cell r="C15">
            <v>1.5010487049946615</v>
          </cell>
          <cell r="D15">
            <v>0.47792257889284256</v>
          </cell>
          <cell r="E15">
            <v>0.22945148554889996</v>
          </cell>
          <cell r="F15">
            <v>0.65715248856595543</v>
          </cell>
          <cell r="G15">
            <v>1.1359948765407721</v>
          </cell>
        </row>
        <row r="16">
          <cell r="A16" t="str">
            <v>05:Q4</v>
          </cell>
          <cell r="B16">
            <v>96.127040709104122</v>
          </cell>
          <cell r="C16">
            <v>1.4284567128001129</v>
          </cell>
          <cell r="D16">
            <v>0.47175734957444804</v>
          </cell>
          <cell r="E16">
            <v>0.24280480212429531</v>
          </cell>
          <cell r="F16">
            <v>0.64447014340176323</v>
          </cell>
          <cell r="G16">
            <v>1.0854702829952574</v>
          </cell>
        </row>
        <row r="17">
          <cell r="A17" t="str">
            <v>06:Q1</v>
          </cell>
          <cell r="B17">
            <v>96.193277838242778</v>
          </cell>
          <cell r="C17">
            <v>1.4040073108935913</v>
          </cell>
          <cell r="D17">
            <v>0.45001050445678903</v>
          </cell>
          <cell r="E17">
            <v>0.20237307166153731</v>
          </cell>
          <cell r="F17">
            <v>0.63879365819004941</v>
          </cell>
          <cell r="G17">
            <v>1.1115376165552475</v>
          </cell>
        </row>
        <row r="18">
          <cell r="A18" t="str">
            <v>06:Q2</v>
          </cell>
          <cell r="B18">
            <v>96.04307466728072</v>
          </cell>
          <cell r="C18">
            <v>1.5076127962184278</v>
          </cell>
          <cell r="D18">
            <v>0.53540569387029657</v>
          </cell>
          <cell r="E18">
            <v>0.21112532030146616</v>
          </cell>
          <cell r="F18">
            <v>0.61148789687349725</v>
          </cell>
          <cell r="G18">
            <v>1.0912936254556007</v>
          </cell>
        </row>
        <row r="19">
          <cell r="A19" t="str">
            <v>06:Q3</v>
          </cell>
          <cell r="B19">
            <v>95.672476130839598</v>
          </cell>
          <cell r="C19">
            <v>1.5853176475200348</v>
          </cell>
          <cell r="D19">
            <v>0.63165201291527984</v>
          </cell>
          <cell r="E19">
            <v>0.31385775208559746</v>
          </cell>
          <cell r="F19">
            <v>0.70253619439629611</v>
          </cell>
          <cell r="G19">
            <v>1.0941602622431863</v>
          </cell>
        </row>
        <row r="20">
          <cell r="A20" t="str">
            <v>06:Q4</v>
          </cell>
          <cell r="B20">
            <v>95.303010867786327</v>
          </cell>
          <cell r="C20">
            <v>1.7686935213485431</v>
          </cell>
          <cell r="D20">
            <v>0.59645879131815582</v>
          </cell>
          <cell r="E20">
            <v>0.3464687435034346</v>
          </cell>
          <cell r="F20">
            <v>0.71947664775014264</v>
          </cell>
          <cell r="G20">
            <v>1.2658914282933993</v>
          </cell>
        </row>
        <row r="21">
          <cell r="A21" t="str">
            <v>07:Q1</v>
          </cell>
          <cell r="B21">
            <v>95.076941272518042</v>
          </cell>
          <cell r="C21">
            <v>1.7734260262675654</v>
          </cell>
          <cell r="D21">
            <v>0.64228842380236517</v>
          </cell>
          <cell r="E21">
            <v>0.37058652060007652</v>
          </cell>
          <cell r="F21">
            <v>0.7715508415774196</v>
          </cell>
          <cell r="G21">
            <v>1.3652069152345279</v>
          </cell>
        </row>
        <row r="22">
          <cell r="A22" t="str">
            <v>07:Q2</v>
          </cell>
          <cell r="B22">
            <v>94.723365791083694</v>
          </cell>
          <cell r="C22">
            <v>1.8560560185661785</v>
          </cell>
          <cell r="D22">
            <v>0.76177125884504282</v>
          </cell>
          <cell r="E22">
            <v>0.40516673979584017</v>
          </cell>
          <cell r="F22">
            <v>0.86445484112664184</v>
          </cell>
          <cell r="G22">
            <v>1.3891853505826093</v>
          </cell>
        </row>
        <row r="23">
          <cell r="A23" t="str">
            <v>07:Q3</v>
          </cell>
          <cell r="B23">
            <v>94.10722928902095</v>
          </cell>
          <cell r="C23">
            <v>1.9021391307720652</v>
          </cell>
          <cell r="D23">
            <v>0.93152726617015902</v>
          </cell>
          <cell r="E23">
            <v>0.44119546384282643</v>
          </cell>
          <cell r="F23">
            <v>0.97531588088275412</v>
          </cell>
          <cell r="G23">
            <v>1.6425929693112455</v>
          </cell>
        </row>
        <row r="24">
          <cell r="A24" t="str">
            <v>07:Q4</v>
          </cell>
          <cell r="B24">
            <v>93.276476557839587</v>
          </cell>
          <cell r="C24">
            <v>2.1063714206576742</v>
          </cell>
          <cell r="D24">
            <v>0.99751481932983799</v>
          </cell>
          <cell r="E24">
            <v>0.61686862576467649</v>
          </cell>
          <cell r="F24">
            <v>1.2150847063762205</v>
          </cell>
          <cell r="G24">
            <v>1.7876838700320097</v>
          </cell>
        </row>
        <row r="25">
          <cell r="A25" t="str">
            <v>08:Q1</v>
          </cell>
          <cell r="B25">
            <v>92.577269050191305</v>
          </cell>
          <cell r="C25">
            <v>2.0641545068001559</v>
          </cell>
          <cell r="D25">
            <v>0.94491702408945788</v>
          </cell>
          <cell r="E25">
            <v>0.6781902137057918</v>
          </cell>
          <cell r="F25">
            <v>1.5971980937994235</v>
          </cell>
          <cell r="G25">
            <v>2.1382711114138639</v>
          </cell>
        </row>
        <row r="26">
          <cell r="A26" t="str">
            <v>08:Q2</v>
          </cell>
          <cell r="B26">
            <v>92.284020897893569</v>
          </cell>
          <cell r="C26">
            <v>2.050998402731036</v>
          </cell>
          <cell r="D26">
            <v>1.0192734240640744</v>
          </cell>
          <cell r="E26">
            <v>0.5436532724566655</v>
          </cell>
          <cell r="F26">
            <v>1.6147936098818791</v>
          </cell>
          <cell r="G26">
            <v>2.4872603929727792</v>
          </cell>
        </row>
        <row r="27">
          <cell r="A27" t="str">
            <v>08:Q3</v>
          </cell>
          <cell r="B27">
            <v>91.494132875218668</v>
          </cell>
          <cell r="C27">
            <v>2.2909130820356012</v>
          </cell>
          <cell r="D27">
            <v>1.1001041694076028</v>
          </cell>
          <cell r="E27">
            <v>0.66491262546969276</v>
          </cell>
          <cell r="F27">
            <v>1.8538409100912048</v>
          </cell>
          <cell r="G27">
            <v>2.5960963377772259</v>
          </cell>
        </row>
        <row r="28">
          <cell r="A28" t="str">
            <v>08:Q4</v>
          </cell>
          <cell r="B28">
            <v>90.234332634278985</v>
          </cell>
          <cell r="C28">
            <v>2.4611747572945908</v>
          </cell>
          <cell r="D28">
            <v>1.4094414440147358</v>
          </cell>
          <cell r="E28">
            <v>0.82132895948436435</v>
          </cell>
          <cell r="F28">
            <v>2.2617827284099992</v>
          </cell>
          <cell r="G28">
            <v>2.8119394765173271</v>
          </cell>
        </row>
        <row r="29">
          <cell r="A29" t="str">
            <v>09:Q1</v>
          </cell>
          <cell r="B29">
            <v>89.338557257268988</v>
          </cell>
          <cell r="C29">
            <v>2.3034679949984658</v>
          </cell>
          <cell r="D29">
            <v>1.2963872279549107</v>
          </cell>
          <cell r="E29">
            <v>0.882010461427709</v>
          </cell>
          <cell r="F29">
            <v>2.8997746465867196</v>
          </cell>
          <cell r="G29">
            <v>3.2798024117632072</v>
          </cell>
        </row>
        <row r="30">
          <cell r="A30" t="str">
            <v>09:Q2</v>
          </cell>
          <cell r="B30">
            <v>88.852546953316562</v>
          </cell>
          <cell r="C30">
            <v>2.1428273245936151</v>
          </cell>
          <cell r="D30">
            <v>1.1984786539834364</v>
          </cell>
          <cell r="E30">
            <v>0.91410209371859241</v>
          </cell>
          <cell r="F30">
            <v>3.2390333688453059</v>
          </cell>
          <cell r="G30">
            <v>3.6530116055424879</v>
          </cell>
        </row>
        <row r="31">
          <cell r="A31" t="str">
            <v>09:Q3</v>
          </cell>
          <cell r="B31">
            <v>88.501913436933748</v>
          </cell>
          <cell r="C31">
            <v>2.2021349343995364</v>
          </cell>
          <cell r="D31">
            <v>1.2645822427929709</v>
          </cell>
          <cell r="E31">
            <v>0.77970729835495733</v>
          </cell>
          <cell r="F31">
            <v>3.6038509707817981</v>
          </cell>
          <cell r="G31">
            <v>3.6478111167369875</v>
          </cell>
        </row>
        <row r="32">
          <cell r="A32" t="str">
            <v>09:Q4</v>
          </cell>
          <cell r="B32">
            <v>88.099595992172482</v>
          </cell>
          <cell r="C32">
            <v>2.1273878349074593</v>
          </cell>
          <cell r="D32">
            <v>1.2172228246006496</v>
          </cell>
          <cell r="E32">
            <v>0.89478946001907855</v>
          </cell>
          <cell r="F32">
            <v>3.9293347619026822</v>
          </cell>
          <cell r="G32">
            <v>3.7316691263976529</v>
          </cell>
        </row>
        <row r="33">
          <cell r="A33" t="str">
            <v>10:Q1</v>
          </cell>
          <cell r="B33">
            <v>88.192566438670241</v>
          </cell>
          <cell r="C33">
            <v>2.0354173049221158</v>
          </cell>
          <cell r="D33">
            <v>1.0416907907927118</v>
          </cell>
          <cell r="E33">
            <v>0.74382262464756721</v>
          </cell>
          <cell r="F33">
            <v>4.3019795789135182</v>
          </cell>
          <cell r="G33">
            <v>3.6845232620538475</v>
          </cell>
        </row>
        <row r="34">
          <cell r="A34" t="str">
            <v>10:Q2</v>
          </cell>
          <cell r="B34">
            <v>88.745046501205962</v>
          </cell>
          <cell r="C34">
            <v>1.9734688842228232</v>
          </cell>
          <cell r="D34">
            <v>0.91208158565671515</v>
          </cell>
          <cell r="E34">
            <v>0.6884209395576637</v>
          </cell>
          <cell r="F34">
            <v>3.9833599366220702</v>
          </cell>
          <cell r="G34">
            <v>3.6976221527347675</v>
          </cell>
        </row>
        <row r="35">
          <cell r="A35" t="str">
            <v>10:Q3</v>
          </cell>
          <cell r="B35">
            <v>89.01637749036432</v>
          </cell>
          <cell r="C35">
            <v>2.0246318132009935</v>
          </cell>
          <cell r="D35">
            <v>0.98891949179433158</v>
          </cell>
          <cell r="E35">
            <v>0.6716674916758687</v>
          </cell>
          <cell r="F35">
            <v>3.5878169410351117</v>
          </cell>
          <cell r="G35">
            <v>3.7105867719293792</v>
          </cell>
        </row>
        <row r="36">
          <cell r="A36" t="str">
            <v>10:Q4</v>
          </cell>
          <cell r="B36">
            <v>89.319158998115796</v>
          </cell>
          <cell r="C36">
            <v>1.844508668887793</v>
          </cell>
          <cell r="D36">
            <v>0.98409396680189054</v>
          </cell>
          <cell r="E36">
            <v>0.60940193476064275</v>
          </cell>
          <cell r="F36">
            <v>3.4930064134014511</v>
          </cell>
          <cell r="G36">
            <v>3.7498300180324233</v>
          </cell>
        </row>
        <row r="37">
          <cell r="A37" t="str">
            <v>11:Q1</v>
          </cell>
          <cell r="B37">
            <v>89.617228556593147</v>
          </cell>
          <cell r="C37">
            <v>1.7764151965892034</v>
          </cell>
          <cell r="D37">
            <v>0.89620639557565873</v>
          </cell>
          <cell r="E37">
            <v>0.58252221862077369</v>
          </cell>
          <cell r="F37">
            <v>3.3414165528884654</v>
          </cell>
          <cell r="G37">
            <v>3.7862110797327446</v>
          </cell>
        </row>
        <row r="38">
          <cell r="A38" t="str">
            <v>11:Q2</v>
          </cell>
          <cell r="B38">
            <v>90.236872752496836</v>
          </cell>
          <cell r="C38">
            <v>1.6465522060038942</v>
          </cell>
          <cell r="D38">
            <v>0.86095920020553485</v>
          </cell>
          <cell r="E38">
            <v>0.49180330671101002</v>
          </cell>
          <cell r="F38">
            <v>3.3221637294249353</v>
          </cell>
          <cell r="G38">
            <v>3.4416488051577896</v>
          </cell>
        </row>
        <row r="39">
          <cell r="A39" t="str">
            <v>11:Q3</v>
          </cell>
          <cell r="B39">
            <v>90.017858106971886</v>
          </cell>
          <cell r="C39">
            <v>1.9484611525133231</v>
          </cell>
          <cell r="D39">
            <v>0.87805798159029647</v>
          </cell>
          <cell r="E39">
            <v>0.57609847303384587</v>
          </cell>
          <cell r="F39">
            <v>3.1866387108599508</v>
          </cell>
          <cell r="G39">
            <v>3.3928855750307005</v>
          </cell>
        </row>
        <row r="40">
          <cell r="A40" t="str">
            <v>11:Q4</v>
          </cell>
          <cell r="B40">
            <v>90.252412629740348</v>
          </cell>
          <cell r="C40">
            <v>1.7393045702115411</v>
          </cell>
          <cell r="D40">
            <v>0.84342086873444633</v>
          </cell>
          <cell r="E40">
            <v>0.53086893609269059</v>
          </cell>
          <cell r="F40">
            <v>3.3264704021316116</v>
          </cell>
          <cell r="G40">
            <v>3.3075225930893688</v>
          </cell>
        </row>
        <row r="41">
          <cell r="A41" t="str">
            <v>12:Q1</v>
          </cell>
          <cell r="B41">
            <v>90.749572261034956</v>
          </cell>
          <cell r="C41">
            <v>1.5298303817189429</v>
          </cell>
          <cell r="D41">
            <v>0.74239615357132993</v>
          </cell>
          <cell r="E41">
            <v>0.50466841517617411</v>
          </cell>
          <cell r="F41">
            <v>3.185060720740704</v>
          </cell>
          <cell r="G41">
            <v>3.2884720677578851</v>
          </cell>
        </row>
        <row r="42">
          <cell r="A42" t="str">
            <v>12:Q2</v>
          </cell>
          <cell r="B42">
            <v>91.01</v>
          </cell>
          <cell r="C42">
            <v>1.57</v>
          </cell>
          <cell r="D42">
            <v>0.7</v>
          </cell>
          <cell r="E42">
            <v>0.4</v>
          </cell>
          <cell r="F42">
            <v>3.39</v>
          </cell>
          <cell r="G42">
            <v>2.93</v>
          </cell>
        </row>
        <row r="43">
          <cell r="A43" t="str">
            <v>12:Q3</v>
          </cell>
          <cell r="B43">
            <v>91.06</v>
          </cell>
          <cell r="C43">
            <v>1.71</v>
          </cell>
          <cell r="D43">
            <v>0.69</v>
          </cell>
          <cell r="E43">
            <v>0.42</v>
          </cell>
          <cell r="F43">
            <v>3.11</v>
          </cell>
          <cell r="G43">
            <v>3.01</v>
          </cell>
        </row>
        <row r="44">
          <cell r="A44" t="str">
            <v>12:Q4</v>
          </cell>
          <cell r="B44">
            <v>91.37</v>
          </cell>
          <cell r="C44">
            <v>1.62</v>
          </cell>
          <cell r="D44">
            <v>0.72</v>
          </cell>
          <cell r="E44">
            <v>0.43</v>
          </cell>
          <cell r="F44">
            <v>3.03</v>
          </cell>
          <cell r="G44">
            <v>2.82</v>
          </cell>
        </row>
        <row r="45">
          <cell r="A45" t="str">
            <v>13:Q1</v>
          </cell>
          <cell r="B45">
            <v>91.92</v>
          </cell>
          <cell r="C45">
            <v>1.42</v>
          </cell>
          <cell r="D45">
            <v>0.63</v>
          </cell>
          <cell r="E45">
            <v>0.4</v>
          </cell>
          <cell r="F45">
            <v>2.9</v>
          </cell>
          <cell r="G45">
            <v>2.74</v>
          </cell>
        </row>
        <row r="46">
          <cell r="A46" t="str">
            <v>13:Q2</v>
          </cell>
          <cell r="B46">
            <v>92.42</v>
          </cell>
          <cell r="C46">
            <v>1.31</v>
          </cell>
          <cell r="D46">
            <v>0.57999999999999996</v>
          </cell>
          <cell r="E46">
            <v>0.31</v>
          </cell>
          <cell r="F46">
            <v>2.71</v>
          </cell>
          <cell r="G46">
            <v>2.67</v>
          </cell>
        </row>
        <row r="47">
          <cell r="A47" t="str">
            <v>13:Q3</v>
          </cell>
          <cell r="B47">
            <v>92.63</v>
          </cell>
          <cell r="C47">
            <v>1.39</v>
          </cell>
          <cell r="D47">
            <v>0.66</v>
          </cell>
          <cell r="E47">
            <v>0.34</v>
          </cell>
          <cell r="F47">
            <v>2.41</v>
          </cell>
          <cell r="G47">
            <v>2.57</v>
          </cell>
        </row>
        <row r="48">
          <cell r="A48" t="str">
            <v>13:Q4</v>
          </cell>
          <cell r="B48">
            <v>92.88</v>
          </cell>
          <cell r="C48">
            <v>1.44</v>
          </cell>
          <cell r="D48">
            <v>0.67</v>
          </cell>
          <cell r="E48">
            <v>0.35</v>
          </cell>
          <cell r="F48">
            <v>2.2599999999999998</v>
          </cell>
          <cell r="G48">
            <v>2.4</v>
          </cell>
        </row>
        <row r="49">
          <cell r="A49" t="str">
            <v>14:Q1</v>
          </cell>
          <cell r="B49">
            <v>93.39</v>
          </cell>
          <cell r="C49">
            <v>1.26</v>
          </cell>
          <cell r="D49">
            <v>0.57999999999999996</v>
          </cell>
          <cell r="E49">
            <v>0.34</v>
          </cell>
          <cell r="F49">
            <v>2.09</v>
          </cell>
          <cell r="G49">
            <v>2.34</v>
          </cell>
        </row>
        <row r="50">
          <cell r="A50" t="str">
            <v>14:Q2</v>
          </cell>
          <cell r="B50">
            <v>93.78</v>
          </cell>
          <cell r="C50">
            <v>1.22</v>
          </cell>
          <cell r="D50">
            <v>0.52</v>
          </cell>
          <cell r="E50">
            <v>0.3</v>
          </cell>
          <cell r="F50">
            <v>1.9</v>
          </cell>
          <cell r="G50">
            <v>2.2799999999999998</v>
          </cell>
        </row>
        <row r="51">
          <cell r="A51" t="str">
            <v>14:Q3</v>
          </cell>
          <cell r="B51">
            <v>93.75</v>
          </cell>
          <cell r="C51">
            <v>1.38</v>
          </cell>
          <cell r="D51">
            <v>0.55000000000000004</v>
          </cell>
          <cell r="E51">
            <v>0.32</v>
          </cell>
          <cell r="F51">
            <v>1.82</v>
          </cell>
          <cell r="G51">
            <v>2.1800000000000002</v>
          </cell>
        </row>
        <row r="52">
          <cell r="A52" t="str">
            <v>14:Q4</v>
          </cell>
          <cell r="B52">
            <v>94.01</v>
          </cell>
          <cell r="C52">
            <v>1.1200000000000001</v>
          </cell>
          <cell r="D52">
            <v>0.59</v>
          </cell>
          <cell r="E52">
            <v>0.3</v>
          </cell>
          <cell r="F52">
            <v>1.82</v>
          </cell>
          <cell r="G52">
            <v>2.17</v>
          </cell>
        </row>
        <row r="53">
          <cell r="A53" t="str">
            <v>15:Q1</v>
          </cell>
          <cell r="B53">
            <v>94.27</v>
          </cell>
          <cell r="C53">
            <v>1.01</v>
          </cell>
          <cell r="D53">
            <v>0.49</v>
          </cell>
          <cell r="E53">
            <v>0.28999999999999998</v>
          </cell>
          <cell r="F53">
            <v>1.78</v>
          </cell>
          <cell r="G53">
            <v>2.16</v>
          </cell>
        </row>
        <row r="54">
          <cell r="A54" t="str">
            <v>15:Q2</v>
          </cell>
          <cell r="B54">
            <v>94.36</v>
          </cell>
          <cell r="C54">
            <v>1.17</v>
          </cell>
          <cell r="D54">
            <v>0.5</v>
          </cell>
          <cell r="E54">
            <v>0.27</v>
          </cell>
          <cell r="F54">
            <v>1.66</v>
          </cell>
          <cell r="G54">
            <v>2.04</v>
          </cell>
        </row>
        <row r="55">
          <cell r="A55" t="str">
            <v>15:Q3</v>
          </cell>
          <cell r="B55">
            <v>94.44</v>
          </cell>
          <cell r="C55">
            <v>1.28</v>
          </cell>
          <cell r="D55">
            <v>0.52</v>
          </cell>
          <cell r="E55">
            <v>0.28000000000000003</v>
          </cell>
          <cell r="F55">
            <v>1.47</v>
          </cell>
          <cell r="G55">
            <v>2.02</v>
          </cell>
        </row>
        <row r="56">
          <cell r="A56" t="str">
            <v>15:Q4</v>
          </cell>
          <cell r="B56">
            <v>94.61</v>
          </cell>
          <cell r="C56">
            <v>1.21</v>
          </cell>
          <cell r="D56">
            <v>0.52</v>
          </cell>
          <cell r="E56">
            <v>0.26</v>
          </cell>
          <cell r="F56">
            <v>1.47</v>
          </cell>
          <cell r="G56">
            <v>1.93</v>
          </cell>
        </row>
        <row r="57">
          <cell r="A57" t="str">
            <v>16:Q1</v>
          </cell>
          <cell r="B57">
            <v>94.99</v>
          </cell>
          <cell r="C57">
            <v>1.03</v>
          </cell>
          <cell r="D57">
            <v>0.41</v>
          </cell>
          <cell r="E57">
            <v>0.26</v>
          </cell>
          <cell r="F57">
            <v>1.36</v>
          </cell>
          <cell r="G57">
            <v>1.94</v>
          </cell>
        </row>
        <row r="58">
          <cell r="A58" t="str">
            <v>16:Q2</v>
          </cell>
          <cell r="B58">
            <v>95.22</v>
          </cell>
          <cell r="C58">
            <v>1.06</v>
          </cell>
          <cell r="D58">
            <v>0.42</v>
          </cell>
          <cell r="E58">
            <v>0.22</v>
          </cell>
          <cell r="F58">
            <v>1.22</v>
          </cell>
          <cell r="G58">
            <v>1.87</v>
          </cell>
        </row>
        <row r="59">
          <cell r="A59" t="str">
            <v>16:Q3</v>
          </cell>
          <cell r="B59">
            <v>95.07</v>
          </cell>
          <cell r="C59">
            <v>1.2</v>
          </cell>
          <cell r="D59">
            <v>0.49</v>
          </cell>
          <cell r="E59">
            <v>0.26</v>
          </cell>
          <cell r="F59">
            <v>1.1499999999999999</v>
          </cell>
          <cell r="G59">
            <v>1.83</v>
          </cell>
        </row>
        <row r="60">
          <cell r="A60" t="str">
            <v>16:Q4</v>
          </cell>
          <cell r="B60">
            <v>95.18</v>
          </cell>
          <cell r="C60">
            <v>1.0900000000000001</v>
          </cell>
          <cell r="D60">
            <v>0.46</v>
          </cell>
          <cell r="E60">
            <v>0.28999999999999998</v>
          </cell>
          <cell r="F60">
            <v>1.1299999999999999</v>
          </cell>
          <cell r="G60">
            <v>1.86</v>
          </cell>
        </row>
        <row r="61">
          <cell r="A61" t="str">
            <v>17:Q1</v>
          </cell>
          <cell r="B61">
            <v>95.16</v>
          </cell>
          <cell r="C61">
            <v>1.07</v>
          </cell>
          <cell r="D61">
            <v>0.41</v>
          </cell>
          <cell r="E61">
            <v>0.27</v>
          </cell>
          <cell r="F61">
            <v>1.17</v>
          </cell>
          <cell r="G61">
            <v>1.91</v>
          </cell>
        </row>
        <row r="62">
          <cell r="A62" t="str">
            <v>17:Q2</v>
          </cell>
          <cell r="B62">
            <v>95.23</v>
          </cell>
          <cell r="C62">
            <v>1.1200000000000001</v>
          </cell>
          <cell r="D62">
            <v>0.45</v>
          </cell>
          <cell r="E62">
            <v>0.23</v>
          </cell>
          <cell r="F62">
            <v>1.05</v>
          </cell>
          <cell r="G62">
            <v>1.92</v>
          </cell>
        </row>
        <row r="63">
          <cell r="A63" t="str">
            <v>17:Q3</v>
          </cell>
          <cell r="B63">
            <v>95.15</v>
          </cell>
          <cell r="C63">
            <v>1.25</v>
          </cell>
          <cell r="D63">
            <v>0.46</v>
          </cell>
          <cell r="E63">
            <v>0.28999999999999998</v>
          </cell>
          <cell r="F63">
            <v>0.99</v>
          </cell>
          <cell r="G63">
            <v>1.87</v>
          </cell>
        </row>
        <row r="64">
          <cell r="A64" t="str">
            <v>17:Q4</v>
          </cell>
          <cell r="B64">
            <v>95.29</v>
          </cell>
          <cell r="C64">
            <v>1.1599999999999999</v>
          </cell>
          <cell r="D64">
            <v>0.46</v>
          </cell>
          <cell r="E64">
            <v>0.26</v>
          </cell>
          <cell r="F64">
            <v>0.91</v>
          </cell>
          <cell r="G64">
            <v>1.92</v>
          </cell>
        </row>
        <row r="65">
          <cell r="A65" t="str">
            <v>18:Q1</v>
          </cell>
          <cell r="B65">
            <v>95.41</v>
          </cell>
          <cell r="C65">
            <v>1.07</v>
          </cell>
          <cell r="D65">
            <v>0.43</v>
          </cell>
          <cell r="E65">
            <v>0.26</v>
          </cell>
          <cell r="F65">
            <v>0.87</v>
          </cell>
          <cell r="G65">
            <v>1.95</v>
          </cell>
        </row>
        <row r="66">
          <cell r="A66" t="str">
            <v>18:Q2</v>
          </cell>
          <cell r="B66">
            <v>95.5</v>
          </cell>
          <cell r="C66">
            <v>1.05</v>
          </cell>
          <cell r="D66">
            <v>0.42</v>
          </cell>
          <cell r="E66">
            <v>0.25</v>
          </cell>
          <cell r="F66">
            <v>0.84</v>
          </cell>
          <cell r="G66">
            <v>1.94</v>
          </cell>
        </row>
        <row r="67">
          <cell r="A67" t="str">
            <v>18:Q3</v>
          </cell>
          <cell r="B67">
            <v>95.28</v>
          </cell>
          <cell r="C67">
            <v>1.2</v>
          </cell>
          <cell r="D67">
            <v>0.45</v>
          </cell>
          <cell r="E67">
            <v>0.28000000000000003</v>
          </cell>
          <cell r="F67">
            <v>0.86</v>
          </cell>
          <cell r="G67">
            <v>1.93</v>
          </cell>
        </row>
        <row r="68">
          <cell r="A68" t="str">
            <v>18:Q4</v>
          </cell>
          <cell r="B68">
            <v>95.35</v>
          </cell>
          <cell r="C68">
            <v>1.1499999999999999</v>
          </cell>
          <cell r="D68">
            <v>0.43</v>
          </cell>
          <cell r="E68">
            <v>0.25</v>
          </cell>
          <cell r="F68">
            <v>0.9</v>
          </cell>
          <cell r="G68">
            <v>1.92</v>
          </cell>
        </row>
        <row r="69">
          <cell r="A69" t="str">
            <v>19:Q1</v>
          </cell>
          <cell r="B69">
            <v>95.44</v>
          </cell>
          <cell r="C69">
            <v>1.07</v>
          </cell>
          <cell r="D69">
            <v>0.44</v>
          </cell>
          <cell r="E69">
            <v>0.26</v>
          </cell>
          <cell r="F69">
            <v>0.82</v>
          </cell>
          <cell r="G69">
            <v>1.97</v>
          </cell>
        </row>
        <row r="70">
          <cell r="A70" t="str">
            <v>19:Q2</v>
          </cell>
          <cell r="B70">
            <v>95.63</v>
          </cell>
          <cell r="C70">
            <v>1.07</v>
          </cell>
          <cell r="D70">
            <v>0.37</v>
          </cell>
          <cell r="E70">
            <v>0.25</v>
          </cell>
          <cell r="F70">
            <v>0.72</v>
          </cell>
          <cell r="G70">
            <v>1.95</v>
          </cell>
        </row>
        <row r="71">
          <cell r="A71" t="str">
            <v>19:Q3</v>
          </cell>
          <cell r="B71">
            <v>95.22</v>
          </cell>
          <cell r="C71">
            <v>1.24</v>
          </cell>
          <cell r="D71">
            <v>0.5</v>
          </cell>
          <cell r="E71">
            <v>0.28999999999999998</v>
          </cell>
          <cell r="F71">
            <v>0.78</v>
          </cell>
          <cell r="G71">
            <v>1.97</v>
          </cell>
        </row>
        <row r="72">
          <cell r="A72" t="str">
            <v>19:Q4</v>
          </cell>
          <cell r="B72">
            <v>95.27</v>
          </cell>
          <cell r="C72">
            <v>1.1100000000000001</v>
          </cell>
          <cell r="D72">
            <v>0.48</v>
          </cell>
          <cell r="E72">
            <v>0.28999999999999998</v>
          </cell>
          <cell r="F72">
            <v>0.83</v>
          </cell>
          <cell r="G72">
            <v>2.02</v>
          </cell>
        </row>
        <row r="73">
          <cell r="A73" t="str">
            <v>20:Q1</v>
          </cell>
          <cell r="B73">
            <v>95.44</v>
          </cell>
          <cell r="C73">
            <v>1.06</v>
          </cell>
          <cell r="D73">
            <v>0.36</v>
          </cell>
          <cell r="E73">
            <v>0.26</v>
          </cell>
          <cell r="F73">
            <v>0.78</v>
          </cell>
          <cell r="G73">
            <v>2.1</v>
          </cell>
        </row>
        <row r="74">
          <cell r="A74" t="str">
            <v>20:Q2</v>
          </cell>
          <cell r="B74">
            <v>96.41</v>
          </cell>
          <cell r="C74">
            <v>0.64</v>
          </cell>
          <cell r="D74">
            <v>0.23</v>
          </cell>
          <cell r="E74">
            <v>0.12</v>
          </cell>
          <cell r="F74">
            <v>0.49</v>
          </cell>
          <cell r="G74">
            <v>2.1</v>
          </cell>
        </row>
        <row r="75">
          <cell r="A75" t="str">
            <v>20:Q3</v>
          </cell>
          <cell r="B75">
            <v>96.63</v>
          </cell>
          <cell r="C75">
            <v>0.65</v>
          </cell>
          <cell r="D75">
            <v>0.2</v>
          </cell>
          <cell r="E75">
            <v>0.11</v>
          </cell>
          <cell r="F75">
            <v>0.41</v>
          </cell>
          <cell r="G75">
            <v>2.0099999999999998</v>
          </cell>
        </row>
        <row r="76">
          <cell r="A76" t="str">
            <v>20:Q4</v>
          </cell>
          <cell r="B76">
            <v>96.83</v>
          </cell>
          <cell r="C76">
            <v>0.56999999999999995</v>
          </cell>
          <cell r="D76">
            <v>0.2</v>
          </cell>
          <cell r="E76">
            <v>0.11</v>
          </cell>
          <cell r="F76">
            <v>0.39</v>
          </cell>
          <cell r="G76">
            <v>1.9</v>
          </cell>
        </row>
        <row r="77">
          <cell r="A77" t="str">
            <v>21:Q1</v>
          </cell>
          <cell r="B77">
            <v>96.95</v>
          </cell>
          <cell r="C77">
            <v>0.54</v>
          </cell>
          <cell r="D77">
            <v>0.18</v>
          </cell>
          <cell r="E77">
            <v>0.1</v>
          </cell>
          <cell r="F77">
            <v>0.39</v>
          </cell>
          <cell r="G77">
            <v>1.85</v>
          </cell>
        </row>
        <row r="78">
          <cell r="A78" t="str">
            <v>21:Q2</v>
          </cell>
          <cell r="B78">
            <v>97.3</v>
          </cell>
          <cell r="C78">
            <v>0.46</v>
          </cell>
          <cell r="D78">
            <v>0.14000000000000001</v>
          </cell>
          <cell r="E78">
            <v>0.08</v>
          </cell>
          <cell r="F78">
            <v>0.3</v>
          </cell>
          <cell r="G78">
            <v>1.73</v>
          </cell>
        </row>
        <row r="79">
          <cell r="A79" t="str">
            <v>21:Q3</v>
          </cell>
          <cell r="B79">
            <v>97.3</v>
          </cell>
          <cell r="C79">
            <v>0.56000000000000005</v>
          </cell>
          <cell r="D79">
            <v>0.16</v>
          </cell>
          <cell r="E79">
            <v>7.0000000000000007E-2</v>
          </cell>
          <cell r="F79">
            <v>0.31</v>
          </cell>
          <cell r="G79">
            <v>1.6</v>
          </cell>
        </row>
        <row r="80">
          <cell r="A80" t="str">
            <v>21:Q4</v>
          </cell>
          <cell r="B80">
            <v>97.28</v>
          </cell>
          <cell r="C80">
            <v>0.61</v>
          </cell>
          <cell r="D80">
            <v>0.2</v>
          </cell>
          <cell r="E80">
            <v>0.09</v>
          </cell>
          <cell r="F80">
            <v>0.32</v>
          </cell>
          <cell r="G80">
            <v>1.5</v>
          </cell>
        </row>
        <row r="81">
          <cell r="A81" t="str">
            <v>22:Q1</v>
          </cell>
          <cell r="B81">
            <v>97.28</v>
          </cell>
          <cell r="C81">
            <v>0.62</v>
          </cell>
          <cell r="D81">
            <v>0.21</v>
          </cell>
          <cell r="E81">
            <v>0.11</v>
          </cell>
          <cell r="F81">
            <v>0.32</v>
          </cell>
          <cell r="G81">
            <v>1.46</v>
          </cell>
        </row>
        <row r="82">
          <cell r="A82" t="str">
            <v>22:Q2</v>
          </cell>
          <cell r="B82">
            <v>97.31</v>
          </cell>
          <cell r="C82">
            <v>0.66</v>
          </cell>
          <cell r="D82">
            <v>0.21</v>
          </cell>
          <cell r="E82">
            <v>0.12</v>
          </cell>
          <cell r="F82">
            <v>0.36</v>
          </cell>
          <cell r="G82">
            <v>1.32</v>
          </cell>
        </row>
        <row r="83">
          <cell r="A83" t="str">
            <v>22:Q3</v>
          </cell>
          <cell r="B83">
            <v>97.31</v>
          </cell>
          <cell r="C83">
            <v>0.77</v>
          </cell>
          <cell r="D83">
            <v>0.26</v>
          </cell>
          <cell r="E83">
            <v>0.12</v>
          </cell>
          <cell r="F83">
            <v>0.31</v>
          </cell>
          <cell r="G83">
            <v>1.22</v>
          </cell>
        </row>
        <row r="84">
          <cell r="A84" t="str">
            <v>22:Q4</v>
          </cell>
          <cell r="B84">
            <v>97.5</v>
          </cell>
          <cell r="C84">
            <v>0.82</v>
          </cell>
          <cell r="D84">
            <v>0.26</v>
          </cell>
          <cell r="E84">
            <v>0.14000000000000001</v>
          </cell>
          <cell r="F84">
            <v>0.33</v>
          </cell>
          <cell r="G84">
            <v>0.95</v>
          </cell>
        </row>
        <row r="85">
          <cell r="A85" t="str">
            <v>23:Q1</v>
          </cell>
          <cell r="B85">
            <v>97.39</v>
          </cell>
          <cell r="C85">
            <v>0.81</v>
          </cell>
          <cell r="D85">
            <v>0.31</v>
          </cell>
          <cell r="E85">
            <v>0.13</v>
          </cell>
          <cell r="F85">
            <v>0.33</v>
          </cell>
          <cell r="G85">
            <v>1.03</v>
          </cell>
        </row>
        <row r="86">
          <cell r="A86" t="str">
            <v>23:Q2</v>
          </cell>
          <cell r="B86">
            <v>97.38</v>
          </cell>
          <cell r="C86">
            <v>0.83</v>
          </cell>
          <cell r="D86">
            <v>0.32</v>
          </cell>
          <cell r="E86">
            <v>0.14000000000000001</v>
          </cell>
          <cell r="F86">
            <v>0.33</v>
          </cell>
          <cell r="G86">
            <v>0.99</v>
          </cell>
        </row>
        <row r="87">
          <cell r="A87" t="str">
            <v>23:Q3</v>
          </cell>
          <cell r="B87">
            <v>97.02</v>
          </cell>
          <cell r="C87">
            <v>0.98</v>
          </cell>
          <cell r="D87">
            <v>0.36</v>
          </cell>
          <cell r="E87">
            <v>0.18</v>
          </cell>
          <cell r="F87">
            <v>0.34</v>
          </cell>
          <cell r="G87">
            <v>1.1299999999999999</v>
          </cell>
        </row>
        <row r="88">
          <cell r="A88" t="str">
            <v>23:Q4</v>
          </cell>
          <cell r="B88">
            <v>96.87</v>
          </cell>
          <cell r="C88">
            <v>1.02</v>
          </cell>
          <cell r="D88">
            <v>0.38</v>
          </cell>
          <cell r="E88">
            <v>0.2</v>
          </cell>
          <cell r="F88">
            <v>0.42</v>
          </cell>
          <cell r="G88">
            <v>1.1100000000000001</v>
          </cell>
        </row>
        <row r="89">
          <cell r="A89" t="str">
            <v>24:Q1</v>
          </cell>
          <cell r="B89">
            <v>96.76</v>
          </cell>
          <cell r="C89">
            <v>0.99</v>
          </cell>
          <cell r="D89">
            <v>0.39</v>
          </cell>
          <cell r="E89">
            <v>0.19</v>
          </cell>
          <cell r="F89">
            <v>0.41</v>
          </cell>
          <cell r="G89">
            <v>1.27</v>
          </cell>
        </row>
        <row r="90">
          <cell r="A90" t="str">
            <v>24:Q2</v>
          </cell>
          <cell r="B90">
            <v>96.82</v>
          </cell>
          <cell r="C90">
            <v>0.95</v>
          </cell>
          <cell r="D90">
            <v>0.41</v>
          </cell>
          <cell r="E90">
            <v>0.18</v>
          </cell>
          <cell r="F90">
            <v>0.4</v>
          </cell>
          <cell r="G90">
            <v>1.26</v>
          </cell>
        </row>
        <row r="91">
          <cell r="A91" t="str">
            <v>24:Q3</v>
          </cell>
          <cell r="B91">
            <v>96.461622453228955</v>
          </cell>
          <cell r="C91">
            <v>1.1136628286700911</v>
          </cell>
          <cell r="D91">
            <v>0.45445258587484777</v>
          </cell>
          <cell r="E91">
            <v>0.23652077218421938</v>
          </cell>
          <cell r="F91">
            <v>0.43586362738125672</v>
          </cell>
          <cell r="G91">
            <v>1.2978777326606326</v>
          </cell>
        </row>
        <row r="92">
          <cell r="A92" t="str">
            <v>24:Q4</v>
          </cell>
          <cell r="B92">
            <v>96.415733981436631</v>
          </cell>
          <cell r="C92">
            <v>1.0852323974638665</v>
          </cell>
          <cell r="D92">
            <v>0.45780811936001276</v>
          </cell>
          <cell r="E92">
            <v>0.22804320491231503</v>
          </cell>
          <cell r="F92">
            <v>0.46913807888317699</v>
          </cell>
          <cell r="G92">
            <v>1.34404421794399</v>
          </cell>
        </row>
        <row r="93">
          <cell r="A93" t="str">
            <v>25:Q1</v>
          </cell>
          <cell r="B93">
            <v>95.652805632178087</v>
          </cell>
          <cell r="C93">
            <v>1.0930176754056715</v>
          </cell>
          <cell r="D93">
            <v>0.40539618313384562</v>
          </cell>
          <cell r="E93">
            <v>0.53561168263081538</v>
          </cell>
          <cell r="F93">
            <v>0.84095216919429294</v>
          </cell>
          <cell r="G93">
            <v>1.4722166574572866</v>
          </cell>
        </row>
        <row r="94">
          <cell r="A94" t="str">
            <v>25:Q2</v>
          </cell>
          <cell r="B94">
            <v>95.587610538493209</v>
          </cell>
          <cell r="C94">
            <v>0.92809850916007086</v>
          </cell>
          <cell r="D94">
            <v>0.44253523397450562</v>
          </cell>
          <cell r="E94">
            <v>0.27488927087622522</v>
          </cell>
          <cell r="F94">
            <v>1.2614296638584062</v>
          </cell>
          <cell r="G94">
            <v>1.5054367836375797</v>
          </cell>
        </row>
        <row r="95">
          <cell r="A95" t="str">
            <v>25:Q3</v>
          </cell>
          <cell r="B95">
            <v>95.52</v>
          </cell>
          <cell r="C95">
            <v>1.0867166426822801</v>
          </cell>
          <cell r="D95">
            <v>0.41957838200086439</v>
          </cell>
          <cell r="E95">
            <v>0.26401710688403157</v>
          </cell>
          <cell r="F95">
            <v>1.1984099619649176</v>
          </cell>
          <cell r="G95">
            <v>1.525396201024233</v>
          </cell>
        </row>
        <row r="96">
          <cell r="A96" t="str">
            <v>25:Q4</v>
          </cell>
          <cell r="B96">
            <v>95.193527267022645</v>
          </cell>
          <cell r="C96">
            <v>1.2096621430176029</v>
          </cell>
          <cell r="D96">
            <v>0.46903088827193334</v>
          </cell>
          <cell r="E96">
            <v>0.31412796806107757</v>
          </cell>
          <cell r="F96">
            <v>1.2699584915667819</v>
          </cell>
          <cell r="G96">
            <v>1.5436932420599581</v>
          </cell>
        </row>
        <row r="97">
          <cell r="A97" t="str">
            <v>26:Q1</v>
          </cell>
          <cell r="B97">
            <v>95.238349166397825</v>
          </cell>
          <cell r="C97">
            <v>1.0099744306895715</v>
          </cell>
          <cell r="D97">
            <v>0.3846861427135464</v>
          </cell>
          <cell r="E97">
            <v>0.31413724240719459</v>
          </cell>
          <cell r="F97">
            <v>1.2984623752529603</v>
          </cell>
          <cell r="G97">
            <v>1.7543906425389073</v>
          </cell>
        </row>
      </sheetData>
      <sheetData sheetId="19" refreshError="1"/>
      <sheetData sheetId="20">
        <row r="1">
          <cell r="A1" t="str">
            <v xml:space="preserve">Percent of Balance 90+ Days Delinquent by Loan Type </v>
          </cell>
        </row>
        <row r="2">
          <cell r="A2" t="str">
            <v>Percent</v>
          </cell>
        </row>
        <row r="3">
          <cell r="A3" t="str">
            <v>Return to Table of Contents</v>
          </cell>
        </row>
        <row r="4">
          <cell r="B4" t="str">
            <v>MORTGAGE</v>
          </cell>
          <cell r="C4" t="str">
            <v>HELOC</v>
          </cell>
          <cell r="D4" t="str">
            <v>AUTO</v>
          </cell>
          <cell r="E4" t="str">
            <v>CC</v>
          </cell>
          <cell r="F4" t="str">
            <v>STUDENT LOAN</v>
          </cell>
          <cell r="H4" t="str">
            <v>ALL</v>
          </cell>
        </row>
        <row r="5">
          <cell r="A5" t="str">
            <v>03:Q1</v>
          </cell>
          <cell r="B5">
            <v>1.21</v>
          </cell>
          <cell r="C5">
            <v>0.35</v>
          </cell>
          <cell r="D5">
            <v>2.33</v>
          </cell>
          <cell r="E5">
            <v>8.84</v>
          </cell>
          <cell r="F5">
            <v>6.1291233901121727</v>
          </cell>
          <cell r="H5">
            <v>2.5668427530319584</v>
          </cell>
        </row>
        <row r="6">
          <cell r="A6" t="str">
            <v>03:Q2</v>
          </cell>
          <cell r="B6">
            <v>1.1399999999999999</v>
          </cell>
          <cell r="C6">
            <v>0.28000000000000003</v>
          </cell>
          <cell r="D6">
            <v>2.2599999999999998</v>
          </cell>
          <cell r="E6">
            <v>8.9</v>
          </cell>
          <cell r="F6">
            <v>6.1372169617126389</v>
          </cell>
          <cell r="H6">
            <v>2.4920082883029293</v>
          </cell>
        </row>
        <row r="7">
          <cell r="A7" t="str">
            <v>03:Q3</v>
          </cell>
          <cell r="B7">
            <v>1.1000000000000001</v>
          </cell>
          <cell r="C7">
            <v>0.22</v>
          </cell>
          <cell r="D7">
            <v>2.16</v>
          </cell>
          <cell r="E7">
            <v>8.67</v>
          </cell>
          <cell r="F7">
            <v>6.2696945337620571</v>
          </cell>
          <cell r="H7">
            <v>2.3928670699262753</v>
          </cell>
        </row>
        <row r="8">
          <cell r="A8" t="str">
            <v>03:Q4</v>
          </cell>
          <cell r="B8">
            <v>1.06</v>
          </cell>
          <cell r="C8">
            <v>0.31</v>
          </cell>
          <cell r="D8">
            <v>2.16</v>
          </cell>
          <cell r="E8">
            <v>9.24</v>
          </cell>
          <cell r="F8">
            <v>6.2315935152234081</v>
          </cell>
          <cell r="H8">
            <v>2.3528113570144442</v>
          </cell>
        </row>
        <row r="9">
          <cell r="A9" t="str">
            <v>04:Q1</v>
          </cell>
          <cell r="B9">
            <v>1.01</v>
          </cell>
          <cell r="C9">
            <v>0.21</v>
          </cell>
          <cell r="D9">
            <v>2.3199999999999998</v>
          </cell>
          <cell r="E9">
            <v>9.27</v>
          </cell>
          <cell r="F9">
            <v>6.3362971516551196</v>
          </cell>
          <cell r="H9">
            <v>2.3111903297021463</v>
          </cell>
        </row>
        <row r="10">
          <cell r="A10" t="str">
            <v>04:Q2</v>
          </cell>
          <cell r="B10">
            <v>1</v>
          </cell>
          <cell r="C10">
            <v>0.15</v>
          </cell>
          <cell r="D10">
            <v>2.17</v>
          </cell>
          <cell r="E10">
            <v>8.85</v>
          </cell>
          <cell r="F10">
            <v>6.3751996957017871</v>
          </cell>
          <cell r="H10">
            <v>2.2189361702127659</v>
          </cell>
        </row>
        <row r="11">
          <cell r="A11" t="str">
            <v>04:Q3</v>
          </cell>
          <cell r="B11">
            <v>1.08</v>
          </cell>
          <cell r="C11">
            <v>0.18</v>
          </cell>
          <cell r="D11">
            <v>2.27</v>
          </cell>
          <cell r="E11">
            <v>8.65</v>
          </cell>
          <cell r="F11">
            <v>6.496060606060607</v>
          </cell>
          <cell r="H11">
            <v>2.2427951998188611</v>
          </cell>
        </row>
        <row r="12">
          <cell r="A12" t="str">
            <v>04:Q4</v>
          </cell>
          <cell r="B12">
            <v>1.08</v>
          </cell>
          <cell r="C12">
            <v>0.21</v>
          </cell>
          <cell r="D12">
            <v>2.42</v>
          </cell>
          <cell r="E12">
            <v>9.18</v>
          </cell>
          <cell r="F12">
            <v>6.3213769164015039</v>
          </cell>
          <cell r="H12">
            <v>2.2610334454078922</v>
          </cell>
        </row>
        <row r="13">
          <cell r="A13" t="str">
            <v>05:Q1</v>
          </cell>
          <cell r="B13">
            <v>1.01</v>
          </cell>
          <cell r="C13">
            <v>0.25</v>
          </cell>
          <cell r="D13">
            <v>2.38</v>
          </cell>
          <cell r="E13">
            <v>9.59</v>
          </cell>
          <cell r="F13">
            <v>6.0324532453245325</v>
          </cell>
          <cell r="H13">
            <v>2.2052418347507796</v>
          </cell>
        </row>
        <row r="14">
          <cell r="A14" t="str">
            <v>05:Q2</v>
          </cell>
          <cell r="B14">
            <v>0.87</v>
          </cell>
          <cell r="C14">
            <v>0.24</v>
          </cell>
          <cell r="D14">
            <v>1.99</v>
          </cell>
          <cell r="E14">
            <v>9.23</v>
          </cell>
          <cell r="F14">
            <v>6.7118055555555554</v>
          </cell>
          <cell r="H14">
            <v>2.0175730630649613</v>
          </cell>
        </row>
        <row r="15">
          <cell r="A15" t="str">
            <v>05:Q3</v>
          </cell>
          <cell r="B15">
            <v>0.91</v>
          </cell>
          <cell r="C15">
            <v>0.2</v>
          </cell>
          <cell r="D15">
            <v>2.0299999999999998</v>
          </cell>
          <cell r="E15">
            <v>9.07</v>
          </cell>
          <cell r="F15">
            <v>6.9933809902038648</v>
          </cell>
          <cell r="H15">
            <v>2.0206901481806763</v>
          </cell>
        </row>
        <row r="16">
          <cell r="A16" t="str">
            <v>05:Q4</v>
          </cell>
          <cell r="B16">
            <v>0.93</v>
          </cell>
          <cell r="C16">
            <v>0.16</v>
          </cell>
          <cell r="D16">
            <v>2.09</v>
          </cell>
          <cell r="E16">
            <v>8.5299999999999994</v>
          </cell>
          <cell r="F16">
            <v>6.5892264488128669</v>
          </cell>
          <cell r="H16">
            <v>1.9710133770570473</v>
          </cell>
        </row>
        <row r="17">
          <cell r="A17" t="str">
            <v>06:Q1</v>
          </cell>
          <cell r="B17">
            <v>0.92</v>
          </cell>
          <cell r="C17">
            <v>0.17</v>
          </cell>
          <cell r="D17">
            <v>2.15</v>
          </cell>
          <cell r="E17">
            <v>8.82</v>
          </cell>
          <cell r="F17">
            <v>6.3926352128883774</v>
          </cell>
          <cell r="H17">
            <v>1.9499123466065613</v>
          </cell>
        </row>
        <row r="18">
          <cell r="A18" t="str">
            <v>06:Q2</v>
          </cell>
          <cell r="B18">
            <v>0.86</v>
          </cell>
          <cell r="C18">
            <v>0.39</v>
          </cell>
          <cell r="D18">
            <v>2.2200000000000002</v>
          </cell>
          <cell r="E18">
            <v>8.9600000000000009</v>
          </cell>
          <cell r="F18">
            <v>6.6559580770107081</v>
          </cell>
          <cell r="H18">
            <v>1.9130928343460096</v>
          </cell>
        </row>
        <row r="19">
          <cell r="A19" t="str">
            <v>06:Q3</v>
          </cell>
          <cell r="B19">
            <v>1.07</v>
          </cell>
          <cell r="C19">
            <v>0.5</v>
          </cell>
          <cell r="D19">
            <v>2.58</v>
          </cell>
          <cell r="E19">
            <v>9.19</v>
          </cell>
          <cell r="F19">
            <v>7.1584956346541304</v>
          </cell>
          <cell r="H19">
            <v>2.1085461777993775</v>
          </cell>
        </row>
        <row r="20">
          <cell r="A20" t="str">
            <v>06:Q4</v>
          </cell>
          <cell r="B20">
            <v>1.31</v>
          </cell>
          <cell r="C20">
            <v>0.61</v>
          </cell>
          <cell r="D20">
            <v>2.62</v>
          </cell>
          <cell r="E20">
            <v>9.66</v>
          </cell>
          <cell r="F20">
            <v>7.1411960132890364</v>
          </cell>
          <cell r="H20">
            <v>2.3297004410737805</v>
          </cell>
        </row>
        <row r="21">
          <cell r="A21" t="str">
            <v>07:Q1</v>
          </cell>
          <cell r="B21">
            <v>1.56</v>
          </cell>
          <cell r="C21">
            <v>0.65</v>
          </cell>
          <cell r="D21">
            <v>2.59</v>
          </cell>
          <cell r="E21">
            <v>9.74</v>
          </cell>
          <cell r="F21">
            <v>6.8493285939968409</v>
          </cell>
          <cell r="H21">
            <v>2.5040842779222814</v>
          </cell>
        </row>
        <row r="22">
          <cell r="A22" t="str">
            <v>07:Q2</v>
          </cell>
          <cell r="B22">
            <v>1.76</v>
          </cell>
          <cell r="C22">
            <v>0.77</v>
          </cell>
          <cell r="D22">
            <v>2.54</v>
          </cell>
          <cell r="E22">
            <v>9.3800000000000008</v>
          </cell>
          <cell r="F22">
            <v>7.2929961089494162</v>
          </cell>
          <cell r="H22">
            <v>2.6553950277641816</v>
          </cell>
        </row>
        <row r="23">
          <cell r="A23" t="str">
            <v>07:Q3</v>
          </cell>
          <cell r="B23">
            <v>2.23</v>
          </cell>
          <cell r="C23">
            <v>1.2</v>
          </cell>
          <cell r="D23">
            <v>2.76</v>
          </cell>
          <cell r="E23">
            <v>9.34</v>
          </cell>
          <cell r="F23">
            <v>7.5858031517100075</v>
          </cell>
          <cell r="H23">
            <v>3.0556932847906606</v>
          </cell>
        </row>
        <row r="24">
          <cell r="A24" t="str">
            <v>07:Q4</v>
          </cell>
          <cell r="B24">
            <v>2.93</v>
          </cell>
          <cell r="C24">
            <v>1.32</v>
          </cell>
          <cell r="D24">
            <v>3.05</v>
          </cell>
          <cell r="E24">
            <v>9.48</v>
          </cell>
          <cell r="F24">
            <v>7.5110502283105021</v>
          </cell>
          <cell r="H24">
            <v>3.6169371786996023</v>
          </cell>
        </row>
        <row r="25">
          <cell r="A25" t="str">
            <v>08:Q1</v>
          </cell>
          <cell r="B25">
            <v>3.94</v>
          </cell>
          <cell r="C25">
            <v>1.86</v>
          </cell>
          <cell r="D25">
            <v>3.22</v>
          </cell>
          <cell r="E25">
            <v>9.49</v>
          </cell>
          <cell r="F25">
            <v>7.3825966850828735</v>
          </cell>
          <cell r="H25">
            <v>4.4086467514856622</v>
          </cell>
        </row>
        <row r="26">
          <cell r="A26" t="str">
            <v>08:Q2</v>
          </cell>
          <cell r="B26">
            <v>4.16</v>
          </cell>
          <cell r="C26">
            <v>2.21</v>
          </cell>
          <cell r="D26">
            <v>3.26</v>
          </cell>
          <cell r="E26">
            <v>10.15</v>
          </cell>
          <cell r="F26">
            <v>7.5509125021320136</v>
          </cell>
          <cell r="H26">
            <v>4.6412918383059107</v>
          </cell>
        </row>
        <row r="27">
          <cell r="A27" t="str">
            <v>08:Q3</v>
          </cell>
          <cell r="B27">
            <v>4.7300000000000004</v>
          </cell>
          <cell r="C27">
            <v>2.66</v>
          </cell>
          <cell r="D27">
            <v>3.64</v>
          </cell>
          <cell r="E27">
            <v>9.48</v>
          </cell>
          <cell r="F27">
            <v>7.5498444917335084</v>
          </cell>
          <cell r="H27">
            <v>5.1069946510563771</v>
          </cell>
        </row>
        <row r="28">
          <cell r="A28" t="str">
            <v>08:Q4</v>
          </cell>
          <cell r="B28">
            <v>5.59</v>
          </cell>
          <cell r="C28">
            <v>3.33</v>
          </cell>
          <cell r="D28">
            <v>3.94</v>
          </cell>
          <cell r="E28">
            <v>10.18</v>
          </cell>
          <cell r="F28">
            <v>7.823087752229001</v>
          </cell>
          <cell r="H28">
            <v>5.8900464881332919</v>
          </cell>
        </row>
        <row r="29">
          <cell r="A29" t="str">
            <v>09:Q1</v>
          </cell>
          <cell r="B29">
            <v>6.97</v>
          </cell>
          <cell r="C29">
            <v>3.77</v>
          </cell>
          <cell r="D29">
            <v>4.3499999999999996</v>
          </cell>
          <cell r="E29">
            <v>11.44</v>
          </cell>
          <cell r="F29">
            <v>7.8770368135184068</v>
          </cell>
          <cell r="H29">
            <v>7.0548860298812412</v>
          </cell>
        </row>
        <row r="30">
          <cell r="A30" t="str">
            <v>09:Q2</v>
          </cell>
          <cell r="B30">
            <v>7.93</v>
          </cell>
          <cell r="C30">
            <v>3.97</v>
          </cell>
          <cell r="D30">
            <v>4.47</v>
          </cell>
          <cell r="E30">
            <v>11.74</v>
          </cell>
          <cell r="F30">
            <v>8.2623630441220026</v>
          </cell>
          <cell r="H30">
            <v>7.7976819911019399</v>
          </cell>
        </row>
        <row r="31">
          <cell r="A31" t="str">
            <v>09:Q3</v>
          </cell>
          <cell r="B31">
            <v>8.17</v>
          </cell>
          <cell r="C31">
            <v>4.18</v>
          </cell>
          <cell r="D31">
            <v>4.68</v>
          </cell>
          <cell r="E31">
            <v>11.9</v>
          </cell>
          <cell r="F31">
            <v>8.4524118070554355</v>
          </cell>
          <cell r="H31">
            <v>8.0179330564378208</v>
          </cell>
        </row>
        <row r="32">
          <cell r="A32" t="str">
            <v>09:Q4</v>
          </cell>
          <cell r="B32">
            <v>8.75</v>
          </cell>
          <cell r="C32">
            <v>4.37</v>
          </cell>
          <cell r="D32">
            <v>4.92</v>
          </cell>
          <cell r="E32">
            <v>12.7</v>
          </cell>
          <cell r="F32">
            <v>8.6571468182448363</v>
          </cell>
          <cell r="H32">
            <v>8.5350605370661103</v>
          </cell>
        </row>
        <row r="33">
          <cell r="A33" t="str">
            <v>10:Q1</v>
          </cell>
          <cell r="B33">
            <v>8.89</v>
          </cell>
          <cell r="C33">
            <v>4.05</v>
          </cell>
          <cell r="D33">
            <v>5.01</v>
          </cell>
          <cell r="E33">
            <v>13.73</v>
          </cell>
          <cell r="F33">
            <v>8.659012932172077</v>
          </cell>
          <cell r="H33">
            <v>8.7100496001452523</v>
          </cell>
        </row>
        <row r="34">
          <cell r="A34" t="str">
            <v>10:Q2</v>
          </cell>
          <cell r="B34">
            <v>8.36</v>
          </cell>
          <cell r="C34">
            <v>4.29</v>
          </cell>
          <cell r="D34">
            <v>4.84</v>
          </cell>
          <cell r="E34">
            <v>13.74</v>
          </cell>
          <cell r="F34">
            <v>8.9527372981488771</v>
          </cell>
          <cell r="H34">
            <v>8.3503558569873562</v>
          </cell>
        </row>
        <row r="35">
          <cell r="A35" t="str">
            <v>10:Q3</v>
          </cell>
          <cell r="B35">
            <v>7.82</v>
          </cell>
          <cell r="C35">
            <v>4.2300000000000004</v>
          </cell>
          <cell r="D35">
            <v>4.83</v>
          </cell>
          <cell r="E35">
            <v>13.16</v>
          </cell>
          <cell r="F35">
            <v>9.1694937034181443</v>
          </cell>
          <cell r="H35">
            <v>7.952340346492857</v>
          </cell>
        </row>
        <row r="36">
          <cell r="A36" t="str">
            <v>10:Q4</v>
          </cell>
          <cell r="B36">
            <v>7.61</v>
          </cell>
          <cell r="C36">
            <v>4.29</v>
          </cell>
          <cell r="D36">
            <v>5.27</v>
          </cell>
          <cell r="E36">
            <v>13.27</v>
          </cell>
          <cell r="F36">
            <v>9.1166543483616653</v>
          </cell>
          <cell r="H36">
            <v>7.8332906464501582</v>
          </cell>
        </row>
        <row r="37">
          <cell r="A37" t="str">
            <v>11:Q1</v>
          </cell>
          <cell r="B37">
            <v>7.46</v>
          </cell>
          <cell r="C37">
            <v>4.66</v>
          </cell>
          <cell r="D37">
            <v>5.09</v>
          </cell>
          <cell r="E37">
            <v>13.12</v>
          </cell>
          <cell r="F37">
            <v>8.9598427073403233</v>
          </cell>
          <cell r="H37">
            <v>7.6927023072211265</v>
          </cell>
        </row>
        <row r="38">
          <cell r="A38" t="str">
            <v>11:Q2</v>
          </cell>
          <cell r="B38">
            <v>6.91</v>
          </cell>
          <cell r="C38">
            <v>4.66</v>
          </cell>
          <cell r="D38">
            <v>4.99</v>
          </cell>
          <cell r="E38">
            <v>12.16</v>
          </cell>
          <cell r="F38">
            <v>9.0864458538877138</v>
          </cell>
          <cell r="H38">
            <v>7.2380067351549515</v>
          </cell>
        </row>
        <row r="39">
          <cell r="A39" t="str">
            <v>11:Q3</v>
          </cell>
          <cell r="B39">
            <v>6.83</v>
          </cell>
          <cell r="C39">
            <v>4.7</v>
          </cell>
          <cell r="D39">
            <v>5.03</v>
          </cell>
          <cell r="E39">
            <v>11.5</v>
          </cell>
          <cell r="F39">
            <v>8.8393472764881622</v>
          </cell>
          <cell r="H39">
            <v>7.1376873735121595</v>
          </cell>
        </row>
        <row r="40">
          <cell r="A40" t="str">
            <v>11:Q4</v>
          </cell>
          <cell r="B40">
            <v>6.89</v>
          </cell>
          <cell r="C40">
            <v>4.71</v>
          </cell>
          <cell r="D40">
            <v>4.82</v>
          </cell>
          <cell r="E40">
            <v>11.48</v>
          </cell>
          <cell r="F40">
            <v>8.4498626373626369</v>
          </cell>
          <cell r="H40">
            <v>7.144771513764649</v>
          </cell>
        </row>
        <row r="41">
          <cell r="A41" t="str">
            <v>12:Q1</v>
          </cell>
          <cell r="B41">
            <v>6.67</v>
          </cell>
          <cell r="C41">
            <v>4.6900000000000004</v>
          </cell>
          <cell r="D41">
            <v>4.55</v>
          </cell>
          <cell r="E41">
            <v>11.27</v>
          </cell>
          <cell r="F41">
            <v>8.6921338097933347</v>
          </cell>
          <cell r="H41">
            <v>6.9591568337845553</v>
          </cell>
        </row>
        <row r="42">
          <cell r="A42" t="str">
            <v>12:Q2</v>
          </cell>
          <cell r="B42">
            <v>6.33</v>
          </cell>
          <cell r="C42">
            <v>4.92</v>
          </cell>
          <cell r="D42">
            <v>4.24</v>
          </cell>
          <cell r="E42">
            <v>10.9</v>
          </cell>
          <cell r="F42">
            <v>8.92</v>
          </cell>
          <cell r="H42">
            <v>6.71</v>
          </cell>
        </row>
        <row r="43">
          <cell r="A43" t="str">
            <v>12:Q3</v>
          </cell>
          <cell r="B43">
            <v>5.9</v>
          </cell>
          <cell r="C43">
            <v>4.93</v>
          </cell>
          <cell r="D43">
            <v>4.25</v>
          </cell>
          <cell r="E43">
            <v>10.45</v>
          </cell>
          <cell r="F43">
            <v>11</v>
          </cell>
          <cell r="H43">
            <v>6.55</v>
          </cell>
        </row>
        <row r="44">
          <cell r="A44" t="str">
            <v>12:Q4</v>
          </cell>
          <cell r="B44">
            <v>5.58</v>
          </cell>
          <cell r="C44">
            <v>3.48</v>
          </cell>
          <cell r="D44">
            <v>4.03</v>
          </cell>
          <cell r="E44">
            <v>10.57</v>
          </cell>
          <cell r="F44">
            <v>11.73</v>
          </cell>
          <cell r="H44">
            <v>6.31</v>
          </cell>
        </row>
        <row r="45">
          <cell r="A45" t="str">
            <v>13:Q1</v>
          </cell>
          <cell r="B45">
            <v>5.35</v>
          </cell>
          <cell r="C45">
            <v>3.22</v>
          </cell>
          <cell r="D45">
            <v>3.92</v>
          </cell>
          <cell r="E45">
            <v>10.210000000000001</v>
          </cell>
          <cell r="F45">
            <v>11.19</v>
          </cell>
          <cell r="H45">
            <v>6.07</v>
          </cell>
        </row>
        <row r="46">
          <cell r="A46" t="str">
            <v>13:Q2</v>
          </cell>
          <cell r="B46">
            <v>4.9400000000000004</v>
          </cell>
          <cell r="C46">
            <v>3</v>
          </cell>
          <cell r="D46">
            <v>3.57</v>
          </cell>
          <cell r="E46">
            <v>9.99</v>
          </cell>
          <cell r="F46">
            <v>10.9</v>
          </cell>
          <cell r="H46">
            <v>5.7</v>
          </cell>
        </row>
        <row r="47">
          <cell r="A47" t="str">
            <v>13:Q3</v>
          </cell>
          <cell r="B47">
            <v>4.3099999999999996</v>
          </cell>
          <cell r="C47">
            <v>3.51</v>
          </cell>
          <cell r="D47">
            <v>3.37</v>
          </cell>
          <cell r="E47">
            <v>9.36</v>
          </cell>
          <cell r="F47">
            <v>11.83</v>
          </cell>
          <cell r="H47">
            <v>5.31</v>
          </cell>
        </row>
        <row r="48">
          <cell r="A48" t="str">
            <v>13:Q4</v>
          </cell>
          <cell r="B48">
            <v>3.93</v>
          </cell>
          <cell r="C48">
            <v>3.19</v>
          </cell>
          <cell r="D48">
            <v>3.35</v>
          </cell>
          <cell r="E48">
            <v>9.4499999999999993</v>
          </cell>
          <cell r="F48">
            <v>11.51</v>
          </cell>
          <cell r="H48">
            <v>5.03</v>
          </cell>
        </row>
        <row r="49">
          <cell r="A49" t="str">
            <v>14:Q1</v>
          </cell>
          <cell r="B49">
            <v>3.72</v>
          </cell>
          <cell r="C49">
            <v>3.37</v>
          </cell>
          <cell r="D49">
            <v>3.32</v>
          </cell>
          <cell r="E49">
            <v>8.51</v>
          </cell>
          <cell r="F49">
            <v>11.01</v>
          </cell>
          <cell r="H49">
            <v>4.7699999999999996</v>
          </cell>
        </row>
        <row r="50">
          <cell r="A50" t="str">
            <v>14:Q2</v>
          </cell>
          <cell r="B50">
            <v>3.39</v>
          </cell>
          <cell r="C50">
            <v>3.33</v>
          </cell>
          <cell r="D50">
            <v>3.27</v>
          </cell>
          <cell r="E50">
            <v>7.83</v>
          </cell>
          <cell r="F50">
            <v>10.92</v>
          </cell>
          <cell r="H50">
            <v>4.49</v>
          </cell>
        </row>
        <row r="51">
          <cell r="A51" t="str">
            <v>14:Q3</v>
          </cell>
          <cell r="B51">
            <v>3.18</v>
          </cell>
          <cell r="C51">
            <v>3.34</v>
          </cell>
          <cell r="D51">
            <v>3.14</v>
          </cell>
          <cell r="E51">
            <v>7.46</v>
          </cell>
          <cell r="F51">
            <v>11.09</v>
          </cell>
          <cell r="H51">
            <v>4.33</v>
          </cell>
        </row>
        <row r="52">
          <cell r="A52" t="str">
            <v>14:Q4</v>
          </cell>
          <cell r="B52">
            <v>3.07</v>
          </cell>
          <cell r="C52">
            <v>3.16</v>
          </cell>
          <cell r="D52">
            <v>3.47</v>
          </cell>
          <cell r="E52">
            <v>7.31</v>
          </cell>
          <cell r="F52">
            <v>11.32</v>
          </cell>
          <cell r="H52">
            <v>4.3</v>
          </cell>
        </row>
        <row r="53">
          <cell r="A53" t="str">
            <v>15:Q1</v>
          </cell>
          <cell r="B53">
            <v>2.95</v>
          </cell>
          <cell r="C53">
            <v>3.04</v>
          </cell>
          <cell r="D53">
            <v>3.34</v>
          </cell>
          <cell r="E53">
            <v>8.3800000000000008</v>
          </cell>
          <cell r="F53">
            <v>11.06</v>
          </cell>
          <cell r="H53">
            <v>4.25</v>
          </cell>
        </row>
        <row r="54">
          <cell r="A54" t="str">
            <v>15:Q2</v>
          </cell>
          <cell r="B54">
            <v>2.5099999999999998</v>
          </cell>
          <cell r="C54">
            <v>3.24</v>
          </cell>
          <cell r="D54">
            <v>3.36</v>
          </cell>
          <cell r="E54">
            <v>8.39</v>
          </cell>
          <cell r="F54">
            <v>11.45</v>
          </cell>
          <cell r="H54">
            <v>3.98</v>
          </cell>
        </row>
        <row r="55">
          <cell r="A55" t="str">
            <v>15:Q3</v>
          </cell>
          <cell r="B55">
            <v>2.3199999999999998</v>
          </cell>
          <cell r="C55">
            <v>2.44</v>
          </cell>
          <cell r="D55">
            <v>3.36</v>
          </cell>
          <cell r="E55">
            <v>8.2100000000000009</v>
          </cell>
          <cell r="F55">
            <v>11.56</v>
          </cell>
          <cell r="H55">
            <v>3.79</v>
          </cell>
        </row>
        <row r="56">
          <cell r="A56" t="str">
            <v>15:Q4</v>
          </cell>
          <cell r="B56">
            <v>2.1800000000000002</v>
          </cell>
          <cell r="C56">
            <v>2.2400000000000002</v>
          </cell>
          <cell r="D56">
            <v>3.37</v>
          </cell>
          <cell r="E56">
            <v>7.65</v>
          </cell>
          <cell r="F56">
            <v>11.52</v>
          </cell>
          <cell r="H56">
            <v>3.69</v>
          </cell>
        </row>
        <row r="57">
          <cell r="A57" t="str">
            <v>16:Q1</v>
          </cell>
          <cell r="B57">
            <v>2.08</v>
          </cell>
          <cell r="C57">
            <v>2.19</v>
          </cell>
          <cell r="D57">
            <v>3.52</v>
          </cell>
          <cell r="E57">
            <v>7.6</v>
          </cell>
          <cell r="F57">
            <v>11.04</v>
          </cell>
          <cell r="H57">
            <v>3.6</v>
          </cell>
        </row>
        <row r="58">
          <cell r="A58" t="str">
            <v>16:Q2</v>
          </cell>
          <cell r="B58">
            <v>1.76</v>
          </cell>
          <cell r="C58">
            <v>1.96</v>
          </cell>
          <cell r="D58">
            <v>3.46</v>
          </cell>
          <cell r="E58">
            <v>7.17</v>
          </cell>
          <cell r="F58">
            <v>11.06</v>
          </cell>
          <cell r="H58">
            <v>3.34</v>
          </cell>
        </row>
        <row r="59">
          <cell r="A59" t="str">
            <v>16:Q3</v>
          </cell>
          <cell r="B59">
            <v>1.63</v>
          </cell>
          <cell r="C59">
            <v>2.0299999999999998</v>
          </cell>
          <cell r="D59">
            <v>3.58</v>
          </cell>
          <cell r="E59">
            <v>7.08</v>
          </cell>
          <cell r="F59">
            <v>10.94</v>
          </cell>
          <cell r="H59">
            <v>3.28</v>
          </cell>
        </row>
        <row r="60">
          <cell r="A60" t="str">
            <v>16:Q4</v>
          </cell>
          <cell r="B60">
            <v>1.57</v>
          </cell>
          <cell r="C60">
            <v>2.13</v>
          </cell>
          <cell r="D60">
            <v>3.75</v>
          </cell>
          <cell r="E60">
            <v>7.14</v>
          </cell>
          <cell r="F60">
            <v>11.17</v>
          </cell>
          <cell r="H60">
            <v>3.3</v>
          </cell>
        </row>
        <row r="61">
          <cell r="A61" t="str">
            <v>17:Q1</v>
          </cell>
          <cell r="B61">
            <v>1.67</v>
          </cell>
          <cell r="C61">
            <v>2.06</v>
          </cell>
          <cell r="D61">
            <v>3.82</v>
          </cell>
          <cell r="E61">
            <v>7.45</v>
          </cell>
          <cell r="F61">
            <v>10.98</v>
          </cell>
          <cell r="H61">
            <v>3.37</v>
          </cell>
        </row>
        <row r="62">
          <cell r="A62" t="str">
            <v>17:Q2</v>
          </cell>
          <cell r="B62">
            <v>1.47</v>
          </cell>
          <cell r="C62">
            <v>1.88</v>
          </cell>
          <cell r="D62">
            <v>3.92</v>
          </cell>
          <cell r="E62">
            <v>7.38</v>
          </cell>
          <cell r="F62">
            <v>11.22</v>
          </cell>
          <cell r="H62">
            <v>3.26</v>
          </cell>
        </row>
        <row r="63">
          <cell r="A63" t="str">
            <v>17:Q3</v>
          </cell>
          <cell r="B63">
            <v>1.38</v>
          </cell>
          <cell r="C63">
            <v>1.53</v>
          </cell>
          <cell r="D63">
            <v>3.97</v>
          </cell>
          <cell r="E63">
            <v>7.47</v>
          </cell>
          <cell r="F63">
            <v>11.17</v>
          </cell>
          <cell r="H63">
            <v>3.19</v>
          </cell>
        </row>
        <row r="64">
          <cell r="A64" t="str">
            <v>17:Q4</v>
          </cell>
          <cell r="B64">
            <v>1.27</v>
          </cell>
          <cell r="C64">
            <v>1.67</v>
          </cell>
          <cell r="D64">
            <v>4.05</v>
          </cell>
          <cell r="E64">
            <v>7.55</v>
          </cell>
          <cell r="F64">
            <v>10.96</v>
          </cell>
          <cell r="H64">
            <v>3.12</v>
          </cell>
        </row>
        <row r="65">
          <cell r="A65" t="str">
            <v>18:Q1</v>
          </cell>
          <cell r="B65">
            <v>1.22</v>
          </cell>
          <cell r="C65">
            <v>1.51</v>
          </cell>
          <cell r="D65">
            <v>4.26</v>
          </cell>
          <cell r="E65">
            <v>8.01</v>
          </cell>
          <cell r="F65">
            <v>10.66</v>
          </cell>
          <cell r="H65">
            <v>3.11</v>
          </cell>
        </row>
        <row r="66">
          <cell r="A66" t="str">
            <v>18:Q2</v>
          </cell>
          <cell r="B66">
            <v>1.1100000000000001</v>
          </cell>
          <cell r="C66">
            <v>1.56</v>
          </cell>
          <cell r="D66">
            <v>4.17</v>
          </cell>
          <cell r="E66">
            <v>7.88</v>
          </cell>
          <cell r="F66">
            <v>10.94</v>
          </cell>
          <cell r="H66">
            <v>3.04</v>
          </cell>
        </row>
        <row r="67">
          <cell r="A67" t="str">
            <v>18:Q3</v>
          </cell>
          <cell r="B67">
            <v>1.06</v>
          </cell>
          <cell r="C67">
            <v>1.2</v>
          </cell>
          <cell r="D67">
            <v>4.2699999999999996</v>
          </cell>
          <cell r="E67">
            <v>7.94</v>
          </cell>
          <cell r="F67">
            <v>11.53</v>
          </cell>
          <cell r="H67">
            <v>3.09</v>
          </cell>
        </row>
        <row r="68">
          <cell r="A68" t="str">
            <v>18:Q4</v>
          </cell>
          <cell r="B68">
            <v>1.06</v>
          </cell>
          <cell r="C68">
            <v>1.1599999999999999</v>
          </cell>
          <cell r="D68">
            <v>4.47</v>
          </cell>
          <cell r="E68">
            <v>7.77</v>
          </cell>
          <cell r="F68">
            <v>11.42</v>
          </cell>
          <cell r="H68">
            <v>3.1</v>
          </cell>
        </row>
        <row r="69">
          <cell r="A69" t="str">
            <v>19:Q1</v>
          </cell>
          <cell r="B69">
            <v>1</v>
          </cell>
          <cell r="C69">
            <v>1.25</v>
          </cell>
          <cell r="D69">
            <v>4.6900000000000004</v>
          </cell>
          <cell r="E69">
            <v>8.32</v>
          </cell>
          <cell r="F69">
            <v>10.85</v>
          </cell>
          <cell r="H69">
            <v>3.06</v>
          </cell>
        </row>
        <row r="70">
          <cell r="A70" t="str">
            <v>19:Q2</v>
          </cell>
          <cell r="B70">
            <v>0.87</v>
          </cell>
          <cell r="C70">
            <v>1.1000000000000001</v>
          </cell>
          <cell r="D70">
            <v>4.6399999999999997</v>
          </cell>
          <cell r="E70">
            <v>8.32</v>
          </cell>
          <cell r="F70">
            <v>10.83</v>
          </cell>
          <cell r="H70">
            <v>2.94</v>
          </cell>
        </row>
        <row r="71">
          <cell r="A71" t="str">
            <v>19:Q3</v>
          </cell>
          <cell r="B71">
            <v>0.97</v>
          </cell>
          <cell r="C71">
            <v>1.1299999999999999</v>
          </cell>
          <cell r="D71">
            <v>4.71</v>
          </cell>
          <cell r="E71">
            <v>8.27</v>
          </cell>
          <cell r="F71">
            <v>10.9</v>
          </cell>
          <cell r="H71">
            <v>3.04</v>
          </cell>
        </row>
        <row r="72">
          <cell r="A72" t="str">
            <v>19:Q4</v>
          </cell>
          <cell r="B72">
            <v>1.07</v>
          </cell>
          <cell r="C72">
            <v>0.84</v>
          </cell>
          <cell r="D72">
            <v>4.9400000000000004</v>
          </cell>
          <cell r="E72">
            <v>8.36</v>
          </cell>
          <cell r="F72">
            <v>11.06</v>
          </cell>
          <cell r="H72">
            <v>3.15</v>
          </cell>
        </row>
        <row r="73">
          <cell r="A73" t="str">
            <v>20:Q1</v>
          </cell>
          <cell r="B73">
            <v>1.06</v>
          </cell>
          <cell r="C73">
            <v>1.19</v>
          </cell>
          <cell r="D73">
            <v>5.05</v>
          </cell>
          <cell r="E73">
            <v>9.09</v>
          </cell>
          <cell r="F73">
            <v>10.75</v>
          </cell>
          <cell r="H73">
            <v>3.17</v>
          </cell>
        </row>
        <row r="74">
          <cell r="A74" t="str">
            <v>20:Q2</v>
          </cell>
          <cell r="B74">
            <v>0.84</v>
          </cell>
          <cell r="C74">
            <v>1.25</v>
          </cell>
          <cell r="D74">
            <v>5.03</v>
          </cell>
          <cell r="E74">
            <v>9.75</v>
          </cell>
          <cell r="F74">
            <v>6.97</v>
          </cell>
          <cell r="H74">
            <v>2.61</v>
          </cell>
        </row>
        <row r="75">
          <cell r="A75" t="str">
            <v>20:Q3</v>
          </cell>
          <cell r="B75">
            <v>0.7</v>
          </cell>
          <cell r="C75">
            <v>1.23</v>
          </cell>
          <cell r="D75">
            <v>4.82</v>
          </cell>
          <cell r="E75">
            <v>9.74</v>
          </cell>
          <cell r="F75">
            <v>6.5</v>
          </cell>
          <cell r="H75">
            <v>2.4300000000000002</v>
          </cell>
        </row>
        <row r="76">
          <cell r="A76" t="str">
            <v>20:Q4</v>
          </cell>
          <cell r="B76">
            <v>0.62</v>
          </cell>
          <cell r="C76">
            <v>1.1200000000000001</v>
          </cell>
          <cell r="D76">
            <v>4.7699999999999996</v>
          </cell>
          <cell r="E76">
            <v>9.36</v>
          </cell>
          <cell r="F76">
            <v>6.45</v>
          </cell>
          <cell r="H76">
            <v>2.33</v>
          </cell>
        </row>
        <row r="77">
          <cell r="A77" t="str">
            <v>21:Q1</v>
          </cell>
          <cell r="B77">
            <v>0.59</v>
          </cell>
          <cell r="C77">
            <v>1.18</v>
          </cell>
          <cell r="D77">
            <v>4.79</v>
          </cell>
          <cell r="E77">
            <v>9.98</v>
          </cell>
          <cell r="F77">
            <v>6.16</v>
          </cell>
          <cell r="H77">
            <v>2.29</v>
          </cell>
        </row>
        <row r="78">
          <cell r="A78" t="str">
            <v>21:Q2</v>
          </cell>
          <cell r="B78">
            <v>0.47</v>
          </cell>
          <cell r="C78">
            <v>1.05</v>
          </cell>
          <cell r="D78">
            <v>4.3499999999999996</v>
          </cell>
          <cell r="E78">
            <v>9.2799999999999994</v>
          </cell>
          <cell r="F78">
            <v>5.69</v>
          </cell>
          <cell r="H78">
            <v>2.06</v>
          </cell>
        </row>
        <row r="79">
          <cell r="A79" t="str">
            <v>21:Q3</v>
          </cell>
          <cell r="B79">
            <v>0.46</v>
          </cell>
          <cell r="C79">
            <v>1</v>
          </cell>
          <cell r="D79">
            <v>4.05</v>
          </cell>
          <cell r="E79">
            <v>8.77</v>
          </cell>
          <cell r="F79">
            <v>5.33</v>
          </cell>
          <cell r="H79">
            <v>1.94</v>
          </cell>
        </row>
        <row r="80">
          <cell r="A80" t="str">
            <v>21:Q4</v>
          </cell>
          <cell r="B80">
            <v>0.46</v>
          </cell>
          <cell r="C80">
            <v>0.82</v>
          </cell>
          <cell r="D80">
            <v>3.98</v>
          </cell>
          <cell r="E80">
            <v>8.32</v>
          </cell>
          <cell r="F80">
            <v>4.99</v>
          </cell>
          <cell r="H80">
            <v>1.87</v>
          </cell>
        </row>
        <row r="81">
          <cell r="A81" t="str">
            <v>22:Q1</v>
          </cell>
          <cell r="B81">
            <v>0.47</v>
          </cell>
          <cell r="C81">
            <v>0.82</v>
          </cell>
          <cell r="D81">
            <v>4</v>
          </cell>
          <cell r="E81">
            <v>8.42</v>
          </cell>
          <cell r="F81">
            <v>4.7</v>
          </cell>
          <cell r="H81">
            <v>1.83</v>
          </cell>
        </row>
        <row r="82">
          <cell r="A82" t="str">
            <v>22:Q2</v>
          </cell>
          <cell r="B82">
            <v>0.48</v>
          </cell>
          <cell r="C82">
            <v>0.91</v>
          </cell>
          <cell r="D82">
            <v>3.86</v>
          </cell>
          <cell r="E82">
            <v>7.98</v>
          </cell>
          <cell r="F82">
            <v>4.55</v>
          </cell>
          <cell r="H82">
            <v>1.81</v>
          </cell>
        </row>
        <row r="83">
          <cell r="A83" t="str">
            <v>22:Q3</v>
          </cell>
          <cell r="B83">
            <v>0.37</v>
          </cell>
          <cell r="C83">
            <v>1.07</v>
          </cell>
          <cell r="D83">
            <v>3.89</v>
          </cell>
          <cell r="E83">
            <v>7.59</v>
          </cell>
          <cell r="F83">
            <v>3.92</v>
          </cell>
          <cell r="H83">
            <v>1.64</v>
          </cell>
        </row>
        <row r="84">
          <cell r="A84" t="str">
            <v>22:Q4</v>
          </cell>
          <cell r="B84">
            <v>0.43</v>
          </cell>
          <cell r="C84">
            <v>0.87</v>
          </cell>
          <cell r="D84">
            <v>3.73</v>
          </cell>
          <cell r="E84">
            <v>7.67</v>
          </cell>
          <cell r="F84">
            <v>0.87</v>
          </cell>
          <cell r="H84">
            <v>1.41</v>
          </cell>
        </row>
        <row r="85">
          <cell r="A85" t="str">
            <v>23:Q1</v>
          </cell>
          <cell r="B85">
            <v>0.44</v>
          </cell>
          <cell r="C85">
            <v>0.78</v>
          </cell>
          <cell r="D85">
            <v>3.89</v>
          </cell>
          <cell r="E85">
            <v>8.24</v>
          </cell>
          <cell r="F85">
            <v>0.67</v>
          </cell>
          <cell r="H85">
            <v>1.46</v>
          </cell>
        </row>
        <row r="86">
          <cell r="A86" t="str">
            <v>23:Q2</v>
          </cell>
          <cell r="B86">
            <v>0.46</v>
          </cell>
          <cell r="C86">
            <v>0.64</v>
          </cell>
          <cell r="D86">
            <v>3.82</v>
          </cell>
          <cell r="E86">
            <v>8</v>
          </cell>
          <cell r="F86">
            <v>0.63</v>
          </cell>
          <cell r="H86">
            <v>1.47</v>
          </cell>
        </row>
        <row r="87">
          <cell r="A87" t="str">
            <v>23:Q3</v>
          </cell>
          <cell r="B87">
            <v>0.5</v>
          </cell>
          <cell r="C87">
            <v>0.74</v>
          </cell>
          <cell r="D87">
            <v>3.91</v>
          </cell>
          <cell r="E87">
            <v>9.43</v>
          </cell>
          <cell r="F87">
            <v>0.67</v>
          </cell>
          <cell r="H87">
            <v>1.62</v>
          </cell>
        </row>
        <row r="88">
          <cell r="A88" t="str">
            <v>23:Q4</v>
          </cell>
          <cell r="B88">
            <v>0.56999999999999995</v>
          </cell>
          <cell r="C88">
            <v>0.62</v>
          </cell>
          <cell r="D88">
            <v>4.17</v>
          </cell>
          <cell r="E88">
            <v>9.74</v>
          </cell>
          <cell r="F88">
            <v>0.6</v>
          </cell>
          <cell r="H88">
            <v>1.74</v>
          </cell>
        </row>
        <row r="89">
          <cell r="A89" t="str">
            <v>24:Q1</v>
          </cell>
          <cell r="B89">
            <v>0.6</v>
          </cell>
          <cell r="C89">
            <v>0.5</v>
          </cell>
          <cell r="D89">
            <v>4.41</v>
          </cell>
          <cell r="E89">
            <v>10.69</v>
          </cell>
          <cell r="F89">
            <v>0.62</v>
          </cell>
          <cell r="H89">
            <v>1.83</v>
          </cell>
        </row>
        <row r="90">
          <cell r="A90" t="str">
            <v>24:Q2</v>
          </cell>
          <cell r="B90">
            <v>0.56999999999999995</v>
          </cell>
          <cell r="C90">
            <v>0.36</v>
          </cell>
          <cell r="D90">
            <v>4.43</v>
          </cell>
          <cell r="E90">
            <v>10.93</v>
          </cell>
          <cell r="F90">
            <v>0.65</v>
          </cell>
          <cell r="H90">
            <v>1.83</v>
          </cell>
        </row>
        <row r="91">
          <cell r="A91" t="str">
            <v>24:Q3</v>
          </cell>
          <cell r="B91">
            <v>0.70945194598888006</v>
          </cell>
          <cell r="C91">
            <v>0.43425471454404546</v>
          </cell>
          <cell r="D91">
            <v>4.5863746958637472</v>
          </cell>
          <cell r="E91">
            <v>11.132075471698114</v>
          </cell>
          <cell r="F91">
            <v>0.48567870485678705</v>
          </cell>
          <cell r="H91">
            <v>1.9672168614924941</v>
          </cell>
        </row>
        <row r="92">
          <cell r="A92" t="str">
            <v>24:Q4</v>
          </cell>
          <cell r="B92">
            <v>0.7</v>
          </cell>
          <cell r="C92">
            <v>0.53</v>
          </cell>
          <cell r="D92">
            <v>4.83</v>
          </cell>
          <cell r="E92">
            <v>11.35</v>
          </cell>
          <cell r="F92">
            <v>0.53</v>
          </cell>
          <cell r="H92">
            <v>2.04</v>
          </cell>
        </row>
        <row r="93">
          <cell r="A93" t="str">
            <v>25:Q1</v>
          </cell>
          <cell r="B93">
            <v>0.85546875</v>
          </cell>
          <cell r="C93">
            <v>0.86875466070096952</v>
          </cell>
          <cell r="D93">
            <v>4.9866017052375149</v>
          </cell>
          <cell r="E93">
            <v>12.30964467005076</v>
          </cell>
          <cell r="F93">
            <v>7.7437155119558554</v>
          </cell>
          <cell r="H93">
            <v>2.8440692122137907</v>
          </cell>
        </row>
        <row r="94">
          <cell r="A94" t="str">
            <v>25:Q2</v>
          </cell>
          <cell r="B94">
            <v>0.81747873163186391</v>
          </cell>
          <cell r="C94">
            <v>0.85165369649805456</v>
          </cell>
          <cell r="D94">
            <v>4.9909365558912384</v>
          </cell>
          <cell r="E94">
            <v>12.266335814722911</v>
          </cell>
          <cell r="F94">
            <v>10.158730158730158</v>
          </cell>
          <cell r="H94">
            <v>3.0377727974934183</v>
          </cell>
        </row>
        <row r="95">
          <cell r="A95" t="str">
            <v>25:Q3</v>
          </cell>
          <cell r="B95">
            <v>0.83</v>
          </cell>
          <cell r="C95">
            <v>0.75</v>
          </cell>
          <cell r="D95">
            <v>5.0199999999999996</v>
          </cell>
          <cell r="E95">
            <v>12.41</v>
          </cell>
          <cell r="F95">
            <v>9.36</v>
          </cell>
          <cell r="H95">
            <v>2.98</v>
          </cell>
        </row>
        <row r="96">
          <cell r="A96" t="str">
            <v>25:Q4</v>
          </cell>
          <cell r="B96">
            <v>0.91571753986332571</v>
          </cell>
          <cell r="C96">
            <v>0.82195571955719549</v>
          </cell>
          <cell r="D96">
            <v>5.2075584883023396</v>
          </cell>
          <cell r="E96">
            <v>12.701644479248239</v>
          </cell>
          <cell r="F96">
            <v>9.5673076923076916</v>
          </cell>
          <cell r="H96">
            <v>3.1215560538355427</v>
          </cell>
        </row>
        <row r="97">
          <cell r="A97" t="str">
            <v>26:Q1</v>
          </cell>
          <cell r="B97">
            <v>1.0900000000000001</v>
          </cell>
          <cell r="C97">
            <v>0.95</v>
          </cell>
          <cell r="D97">
            <v>5.6</v>
          </cell>
          <cell r="E97">
            <v>13.12</v>
          </cell>
          <cell r="F97">
            <v>10.34</v>
          </cell>
          <cell r="H97">
            <v>3.36</v>
          </cell>
        </row>
      </sheetData>
      <sheetData sheetId="21" refreshError="1"/>
      <sheetData sheetId="22">
        <row r="1">
          <cell r="A1" t="str">
            <v xml:space="preserve">New Delinquent* Balances by Loan Type </v>
          </cell>
        </row>
        <row r="2">
          <cell r="A2" t="str">
            <v>Percent</v>
          </cell>
        </row>
        <row r="3">
          <cell r="A3" t="str">
            <v>*30 or more days delinquent</v>
          </cell>
          <cell r="E3" t="str">
            <v>Source: New York Fed Consumer Credit Panel/Equifax</v>
          </cell>
        </row>
        <row r="4">
          <cell r="A4" t="str">
            <v>Return to Table of Contents</v>
          </cell>
        </row>
        <row r="5">
          <cell r="B5" t="str">
            <v>AUTO</v>
          </cell>
          <cell r="C5" t="str">
            <v>CC</v>
          </cell>
          <cell r="D5" t="str">
            <v>MORTGAGE</v>
          </cell>
          <cell r="E5" t="str">
            <v>HELOC</v>
          </cell>
          <cell r="F5" t="str">
            <v>STUDENT LOAN</v>
          </cell>
          <cell r="G5" t="str">
            <v>OTHER</v>
          </cell>
        </row>
        <row r="6">
          <cell r="A6" t="str">
            <v>03:Q1</v>
          </cell>
          <cell r="B6">
            <v>8.57</v>
          </cell>
          <cell r="C6">
            <v>12.32</v>
          </cell>
          <cell r="D6">
            <v>5.38</v>
          </cell>
          <cell r="E6">
            <v>2.94</v>
          </cell>
          <cell r="G6">
            <v>8.8800000000000008</v>
          </cell>
        </row>
        <row r="7">
          <cell r="A7" t="str">
            <v>03:Q2</v>
          </cell>
          <cell r="B7">
            <v>8.5</v>
          </cell>
          <cell r="C7">
            <v>12.27</v>
          </cell>
          <cell r="D7">
            <v>5.54</v>
          </cell>
          <cell r="E7">
            <v>2.68</v>
          </cell>
          <cell r="G7">
            <v>9.1300000000000008</v>
          </cell>
        </row>
        <row r="8">
          <cell r="A8" t="str">
            <v>03:Q3</v>
          </cell>
          <cell r="B8">
            <v>8.0299999999999994</v>
          </cell>
          <cell r="C8">
            <v>11.74</v>
          </cell>
          <cell r="D8">
            <v>5.27</v>
          </cell>
          <cell r="E8">
            <v>2.5299999999999998</v>
          </cell>
          <cell r="G8">
            <v>9.0500000000000007</v>
          </cell>
        </row>
        <row r="9">
          <cell r="A9" t="str">
            <v>03:Q4</v>
          </cell>
          <cell r="B9">
            <v>7.79</v>
          </cell>
          <cell r="C9">
            <v>11.56</v>
          </cell>
          <cell r="D9">
            <v>5.27</v>
          </cell>
          <cell r="E9">
            <v>2.0299999999999998</v>
          </cell>
          <cell r="G9">
            <v>8.8000000000000007</v>
          </cell>
        </row>
        <row r="10">
          <cell r="A10" t="str">
            <v>04:Q1</v>
          </cell>
          <cell r="B10">
            <v>7.42</v>
          </cell>
          <cell r="C10">
            <v>10.89</v>
          </cell>
          <cell r="D10">
            <v>5.05</v>
          </cell>
          <cell r="E10">
            <v>1.93</v>
          </cell>
          <cell r="F10">
            <v>7.61</v>
          </cell>
          <cell r="G10">
            <v>8.94</v>
          </cell>
        </row>
        <row r="11">
          <cell r="A11" t="str">
            <v>04:Q2</v>
          </cell>
          <cell r="B11">
            <v>7.29</v>
          </cell>
          <cell r="C11">
            <v>10.48</v>
          </cell>
          <cell r="D11">
            <v>5.07</v>
          </cell>
          <cell r="E11">
            <v>1.98</v>
          </cell>
          <cell r="F11">
            <v>7.2</v>
          </cell>
          <cell r="G11">
            <v>8.7200000000000006</v>
          </cell>
        </row>
        <row r="12">
          <cell r="A12" t="str">
            <v>04:Q3</v>
          </cell>
          <cell r="B12">
            <v>7.19</v>
          </cell>
          <cell r="C12">
            <v>10.199999999999999</v>
          </cell>
          <cell r="D12">
            <v>5</v>
          </cell>
          <cell r="E12">
            <v>1.84</v>
          </cell>
          <cell r="F12">
            <v>7.28</v>
          </cell>
          <cell r="G12">
            <v>8.4700000000000006</v>
          </cell>
        </row>
        <row r="13">
          <cell r="A13" t="str">
            <v>04:Q4</v>
          </cell>
          <cell r="B13">
            <v>6.98</v>
          </cell>
          <cell r="C13">
            <v>9.85</v>
          </cell>
          <cell r="D13">
            <v>4.88</v>
          </cell>
          <cell r="E13">
            <v>2.08</v>
          </cell>
          <cell r="F13">
            <v>7.61</v>
          </cell>
          <cell r="G13">
            <v>8.2799999999999994</v>
          </cell>
        </row>
        <row r="14">
          <cell r="A14" t="str">
            <v>05:Q1</v>
          </cell>
          <cell r="B14">
            <v>6.78</v>
          </cell>
          <cell r="C14">
            <v>9.35</v>
          </cell>
          <cell r="D14">
            <v>4.75</v>
          </cell>
          <cell r="E14">
            <v>2.14</v>
          </cell>
          <cell r="F14">
            <v>8.17</v>
          </cell>
          <cell r="G14">
            <v>8.1199999999999992</v>
          </cell>
        </row>
        <row r="15">
          <cell r="A15" t="str">
            <v>05:Q2</v>
          </cell>
          <cell r="B15">
            <v>6.69</v>
          </cell>
          <cell r="C15">
            <v>9.1</v>
          </cell>
          <cell r="D15">
            <v>4.6399999999999997</v>
          </cell>
          <cell r="E15">
            <v>2.04</v>
          </cell>
          <cell r="F15">
            <v>8.4700000000000006</v>
          </cell>
          <cell r="G15">
            <v>8</v>
          </cell>
        </row>
        <row r="16">
          <cell r="A16" t="str">
            <v>05:Q3</v>
          </cell>
          <cell r="B16">
            <v>7.13</v>
          </cell>
          <cell r="C16">
            <v>9.25</v>
          </cell>
          <cell r="D16">
            <v>4.6900000000000004</v>
          </cell>
          <cell r="E16">
            <v>2.0299999999999998</v>
          </cell>
          <cell r="F16">
            <v>9.0500000000000007</v>
          </cell>
          <cell r="G16">
            <v>8.2799999999999994</v>
          </cell>
        </row>
        <row r="17">
          <cell r="A17" t="str">
            <v>05:Q4</v>
          </cell>
          <cell r="B17">
            <v>7.34</v>
          </cell>
          <cell r="C17">
            <v>8.6300000000000008</v>
          </cell>
          <cell r="D17">
            <v>4.68</v>
          </cell>
          <cell r="E17">
            <v>1.84</v>
          </cell>
          <cell r="F17">
            <v>8.8800000000000008</v>
          </cell>
          <cell r="G17">
            <v>8.26</v>
          </cell>
        </row>
        <row r="18">
          <cell r="A18" t="str">
            <v>06:Q1</v>
          </cell>
          <cell r="B18">
            <v>7.66</v>
          </cell>
          <cell r="C18">
            <v>8.58</v>
          </cell>
          <cell r="D18">
            <v>4.7300000000000004</v>
          </cell>
          <cell r="E18">
            <v>1.93</v>
          </cell>
          <cell r="F18">
            <v>8.82</v>
          </cell>
          <cell r="G18">
            <v>8.1199999999999992</v>
          </cell>
        </row>
        <row r="19">
          <cell r="A19" t="str">
            <v>06:Q2</v>
          </cell>
          <cell r="B19">
            <v>8.2100000000000009</v>
          </cell>
          <cell r="C19">
            <v>8.4499999999999993</v>
          </cell>
          <cell r="D19">
            <v>4.8499999999999996</v>
          </cell>
          <cell r="E19">
            <v>2.34</v>
          </cell>
          <cell r="F19">
            <v>9.16</v>
          </cell>
          <cell r="G19">
            <v>7.94</v>
          </cell>
        </row>
        <row r="20">
          <cell r="A20" t="str">
            <v>06:Q3</v>
          </cell>
          <cell r="B20">
            <v>8.32</v>
          </cell>
          <cell r="C20">
            <v>8.3800000000000008</v>
          </cell>
          <cell r="D20">
            <v>5.03</v>
          </cell>
          <cell r="E20">
            <v>2.64</v>
          </cell>
          <cell r="F20">
            <v>9.2200000000000006</v>
          </cell>
          <cell r="G20">
            <v>7.62</v>
          </cell>
        </row>
        <row r="21">
          <cell r="A21" t="str">
            <v>06:Q4</v>
          </cell>
          <cell r="B21">
            <v>8.69</v>
          </cell>
          <cell r="C21">
            <v>8.76</v>
          </cell>
          <cell r="D21">
            <v>5.45</v>
          </cell>
          <cell r="E21">
            <v>2.85</v>
          </cell>
          <cell r="F21">
            <v>9.75</v>
          </cell>
          <cell r="G21">
            <v>7.43</v>
          </cell>
        </row>
        <row r="22">
          <cell r="A22" t="str">
            <v>07:Q1</v>
          </cell>
          <cell r="B22">
            <v>8.76</v>
          </cell>
          <cell r="C22">
            <v>9.0500000000000007</v>
          </cell>
          <cell r="D22">
            <v>5.99</v>
          </cell>
          <cell r="E22">
            <v>3.23</v>
          </cell>
          <cell r="F22">
            <v>9.8699999999999992</v>
          </cell>
          <cell r="G22">
            <v>7.39</v>
          </cell>
        </row>
        <row r="23">
          <cell r="A23" t="str">
            <v>07:Q2</v>
          </cell>
          <cell r="B23">
            <v>8.84</v>
          </cell>
          <cell r="C23">
            <v>9.32</v>
          </cell>
          <cell r="D23">
            <v>6.46</v>
          </cell>
          <cell r="E23">
            <v>3.3</v>
          </cell>
          <cell r="F23">
            <v>10</v>
          </cell>
          <cell r="G23">
            <v>7.48</v>
          </cell>
        </row>
        <row r="24">
          <cell r="A24" t="str">
            <v>07:Q3</v>
          </cell>
          <cell r="B24">
            <v>9.1300000000000008</v>
          </cell>
          <cell r="C24">
            <v>9.2899999999999991</v>
          </cell>
          <cell r="D24">
            <v>7.09</v>
          </cell>
          <cell r="E24">
            <v>3.63</v>
          </cell>
          <cell r="F24">
            <v>9.82</v>
          </cell>
          <cell r="G24">
            <v>7.99</v>
          </cell>
        </row>
        <row r="25">
          <cell r="A25" t="str">
            <v>07:Q4</v>
          </cell>
          <cell r="B25">
            <v>9.41</v>
          </cell>
          <cell r="C25">
            <v>9.6999999999999993</v>
          </cell>
          <cell r="D25">
            <v>7.99</v>
          </cell>
          <cell r="E25">
            <v>4.3</v>
          </cell>
          <cell r="F25">
            <v>9.82</v>
          </cell>
          <cell r="G25">
            <v>8.8699999999999992</v>
          </cell>
        </row>
        <row r="26">
          <cell r="A26" t="str">
            <v>08:Q1</v>
          </cell>
          <cell r="B26">
            <v>9.73</v>
          </cell>
          <cell r="C26">
            <v>10.130000000000001</v>
          </cell>
          <cell r="D26">
            <v>8.7200000000000006</v>
          </cell>
          <cell r="E26">
            <v>4.87</v>
          </cell>
          <cell r="F26">
            <v>9.85</v>
          </cell>
          <cell r="G26">
            <v>9.75</v>
          </cell>
        </row>
        <row r="27">
          <cell r="A27" t="str">
            <v>08:Q2</v>
          </cell>
          <cell r="B27">
            <v>9.94</v>
          </cell>
          <cell r="C27">
            <v>10.43</v>
          </cell>
          <cell r="D27">
            <v>9.5</v>
          </cell>
          <cell r="E27">
            <v>5.67</v>
          </cell>
          <cell r="F27">
            <v>9.2799999999999994</v>
          </cell>
          <cell r="G27">
            <v>10.35</v>
          </cell>
        </row>
        <row r="28">
          <cell r="A28" t="str">
            <v>08:Q3</v>
          </cell>
          <cell r="B28">
            <v>10.18</v>
          </cell>
          <cell r="C28">
            <v>10.95</v>
          </cell>
          <cell r="D28">
            <v>10.26</v>
          </cell>
          <cell r="E28">
            <v>6.64</v>
          </cell>
          <cell r="F28">
            <v>9.5500000000000007</v>
          </cell>
          <cell r="G28">
            <v>11.62</v>
          </cell>
        </row>
        <row r="29">
          <cell r="A29" t="str">
            <v>08:Q4</v>
          </cell>
          <cell r="B29">
            <v>10.47</v>
          </cell>
          <cell r="C29">
            <v>11.84</v>
          </cell>
          <cell r="D29">
            <v>11.21</v>
          </cell>
          <cell r="E29">
            <v>7.32</v>
          </cell>
          <cell r="F29">
            <v>9.3800000000000008</v>
          </cell>
          <cell r="G29">
            <v>12.32</v>
          </cell>
        </row>
        <row r="30">
          <cell r="A30" t="str">
            <v>09:Q1</v>
          </cell>
          <cell r="B30">
            <v>10.62</v>
          </cell>
          <cell r="C30">
            <v>12.65</v>
          </cell>
          <cell r="D30">
            <v>11.94</v>
          </cell>
          <cell r="E30">
            <v>7.53</v>
          </cell>
          <cell r="F30">
            <v>9.34</v>
          </cell>
          <cell r="G30">
            <v>12.21</v>
          </cell>
        </row>
        <row r="31">
          <cell r="A31" t="str">
            <v>09:Q2</v>
          </cell>
          <cell r="B31">
            <v>10.85</v>
          </cell>
          <cell r="C31">
            <v>13.36</v>
          </cell>
          <cell r="D31">
            <v>12.4</v>
          </cell>
          <cell r="E31">
            <v>7.58</v>
          </cell>
          <cell r="F31">
            <v>9.7899999999999991</v>
          </cell>
          <cell r="G31">
            <v>12.43</v>
          </cell>
        </row>
        <row r="32">
          <cell r="A32" t="str">
            <v>09:Q3</v>
          </cell>
          <cell r="B32">
            <v>10.8</v>
          </cell>
          <cell r="C32">
            <v>13.77</v>
          </cell>
          <cell r="D32">
            <v>12.44</v>
          </cell>
          <cell r="E32">
            <v>7.12</v>
          </cell>
          <cell r="F32">
            <v>9.7100000000000009</v>
          </cell>
          <cell r="G32">
            <v>11.85</v>
          </cell>
        </row>
        <row r="33">
          <cell r="A33" t="str">
            <v>09:Q4</v>
          </cell>
          <cell r="B33">
            <v>10.46</v>
          </cell>
          <cell r="C33">
            <v>13.78</v>
          </cell>
          <cell r="D33">
            <v>11.66</v>
          </cell>
          <cell r="E33">
            <v>6.6</v>
          </cell>
          <cell r="F33">
            <v>10.18</v>
          </cell>
          <cell r="G33">
            <v>12.02</v>
          </cell>
        </row>
        <row r="34">
          <cell r="A34" t="str">
            <v>10:Q1</v>
          </cell>
          <cell r="B34">
            <v>10.220000000000001</v>
          </cell>
          <cell r="C34">
            <v>13.26</v>
          </cell>
          <cell r="D34">
            <v>11.06</v>
          </cell>
          <cell r="E34">
            <v>6.14</v>
          </cell>
          <cell r="F34">
            <v>10.36</v>
          </cell>
          <cell r="G34">
            <v>11.82</v>
          </cell>
        </row>
        <row r="35">
          <cell r="A35" t="str">
            <v>10:Q2</v>
          </cell>
          <cell r="B35">
            <v>9.5500000000000007</v>
          </cell>
          <cell r="C35">
            <v>12.93</v>
          </cell>
          <cell r="D35">
            <v>10.32</v>
          </cell>
          <cell r="E35">
            <v>5.59</v>
          </cell>
          <cell r="F35">
            <v>10.7</v>
          </cell>
          <cell r="G35">
            <v>11.4</v>
          </cell>
        </row>
        <row r="36">
          <cell r="A36" t="str">
            <v>10:Q3</v>
          </cell>
          <cell r="B36">
            <v>8.74</v>
          </cell>
          <cell r="C36">
            <v>12.11</v>
          </cell>
          <cell r="D36">
            <v>9.7100000000000009</v>
          </cell>
          <cell r="E36">
            <v>5.33</v>
          </cell>
          <cell r="F36">
            <v>10.85</v>
          </cell>
          <cell r="G36">
            <v>11.21</v>
          </cell>
        </row>
        <row r="37">
          <cell r="A37" t="str">
            <v>10:Q4</v>
          </cell>
          <cell r="B37">
            <v>8.1999999999999993</v>
          </cell>
          <cell r="C37">
            <v>10.74</v>
          </cell>
          <cell r="D37">
            <v>9.09</v>
          </cell>
          <cell r="E37">
            <v>5.0599999999999996</v>
          </cell>
          <cell r="F37">
            <v>10.45</v>
          </cell>
          <cell r="G37">
            <v>10.11</v>
          </cell>
        </row>
        <row r="38">
          <cell r="A38" t="str">
            <v>11:Q1</v>
          </cell>
          <cell r="B38">
            <v>7.63</v>
          </cell>
          <cell r="C38">
            <v>9.7100000000000009</v>
          </cell>
          <cell r="D38">
            <v>8.64</v>
          </cell>
          <cell r="E38">
            <v>4.82</v>
          </cell>
          <cell r="F38">
            <v>10.58</v>
          </cell>
          <cell r="G38">
            <v>9.3800000000000008</v>
          </cell>
        </row>
        <row r="39">
          <cell r="A39" t="str">
            <v>11:Q2</v>
          </cell>
          <cell r="B39">
            <v>7.05</v>
          </cell>
          <cell r="C39">
            <v>8.58</v>
          </cell>
          <cell r="D39">
            <v>8.2100000000000009</v>
          </cell>
          <cell r="E39">
            <v>4.5599999999999996</v>
          </cell>
          <cell r="F39">
            <v>10.35</v>
          </cell>
          <cell r="G39">
            <v>9.0399999999999991</v>
          </cell>
        </row>
        <row r="40">
          <cell r="A40" t="str">
            <v>11:Q3</v>
          </cell>
          <cell r="B40">
            <v>7.03</v>
          </cell>
          <cell r="C40">
            <v>8.08</v>
          </cell>
          <cell r="D40">
            <v>8.1999999999999993</v>
          </cell>
          <cell r="E40">
            <v>4.76</v>
          </cell>
          <cell r="F40">
            <v>10.6</v>
          </cell>
          <cell r="G40">
            <v>8.2200000000000006</v>
          </cell>
        </row>
        <row r="41">
          <cell r="A41" t="str">
            <v>11:Q4</v>
          </cell>
          <cell r="B41">
            <v>6.77</v>
          </cell>
          <cell r="C41">
            <v>7.64</v>
          </cell>
          <cell r="D41">
            <v>8.02</v>
          </cell>
          <cell r="E41">
            <v>4.3899999999999997</v>
          </cell>
          <cell r="F41">
            <v>10.64</v>
          </cell>
          <cell r="G41">
            <v>7.9</v>
          </cell>
        </row>
        <row r="42">
          <cell r="A42" t="str">
            <v>12:Q1</v>
          </cell>
          <cell r="B42">
            <v>6.67</v>
          </cell>
          <cell r="C42">
            <v>7.24</v>
          </cell>
          <cell r="D42">
            <v>7.57</v>
          </cell>
          <cell r="E42">
            <v>4.3499999999999996</v>
          </cell>
          <cell r="F42">
            <v>10.36</v>
          </cell>
          <cell r="G42">
            <v>7.54</v>
          </cell>
        </row>
        <row r="43">
          <cell r="A43" t="str">
            <v>12:Q2</v>
          </cell>
          <cell r="B43">
            <v>6.73</v>
          </cell>
          <cell r="C43">
            <v>6.95</v>
          </cell>
          <cell r="D43">
            <v>7.31</v>
          </cell>
          <cell r="E43">
            <v>4.3099999999999996</v>
          </cell>
          <cell r="F43">
            <v>10.91</v>
          </cell>
          <cell r="G43">
            <v>7.26</v>
          </cell>
        </row>
        <row r="44">
          <cell r="A44" t="str">
            <v>12:Q3</v>
          </cell>
          <cell r="B44">
            <v>6.41</v>
          </cell>
          <cell r="C44">
            <v>6.58</v>
          </cell>
          <cell r="D44">
            <v>6.69</v>
          </cell>
          <cell r="E44">
            <v>3.42</v>
          </cell>
          <cell r="F44">
            <v>11.12</v>
          </cell>
          <cell r="G44">
            <v>7.26</v>
          </cell>
        </row>
        <row r="45">
          <cell r="A45" t="str">
            <v>12:Q4</v>
          </cell>
          <cell r="B45">
            <v>6.38</v>
          </cell>
          <cell r="C45">
            <v>6.36</v>
          </cell>
          <cell r="D45">
            <v>6.3</v>
          </cell>
          <cell r="E45">
            <v>3.48</v>
          </cell>
          <cell r="F45">
            <v>11.39</v>
          </cell>
          <cell r="G45">
            <v>6.87</v>
          </cell>
        </row>
        <row r="46">
          <cell r="A46" t="str">
            <v>13:Q1</v>
          </cell>
          <cell r="B46">
            <v>6.62</v>
          </cell>
          <cell r="C46">
            <v>6.22</v>
          </cell>
          <cell r="D46">
            <v>6.04</v>
          </cell>
          <cell r="E46">
            <v>3.11</v>
          </cell>
          <cell r="F46">
            <v>11.62</v>
          </cell>
          <cell r="G46">
            <v>7.04</v>
          </cell>
        </row>
        <row r="47">
          <cell r="A47" t="str">
            <v>13:Q2</v>
          </cell>
          <cell r="B47">
            <v>6.65</v>
          </cell>
          <cell r="C47">
            <v>6.09</v>
          </cell>
          <cell r="D47">
            <v>5.73</v>
          </cell>
          <cell r="E47">
            <v>3.05</v>
          </cell>
          <cell r="F47">
            <v>11.09</v>
          </cell>
          <cell r="G47">
            <v>6.83</v>
          </cell>
        </row>
        <row r="48">
          <cell r="A48" t="str">
            <v>13:Q3</v>
          </cell>
          <cell r="B48">
            <v>6.79</v>
          </cell>
          <cell r="C48">
            <v>5.82</v>
          </cell>
          <cell r="D48">
            <v>5.47</v>
          </cell>
          <cell r="E48">
            <v>3.37</v>
          </cell>
          <cell r="F48">
            <v>11.01</v>
          </cell>
          <cell r="G48">
            <v>6.59</v>
          </cell>
        </row>
        <row r="49">
          <cell r="A49" t="str">
            <v>13:Q4</v>
          </cell>
          <cell r="B49">
            <v>6.85</v>
          </cell>
          <cell r="C49">
            <v>5.63</v>
          </cell>
          <cell r="D49">
            <v>5.25</v>
          </cell>
          <cell r="E49">
            <v>3.18</v>
          </cell>
          <cell r="F49">
            <v>11.33</v>
          </cell>
          <cell r="G49">
            <v>6.43</v>
          </cell>
        </row>
        <row r="50">
          <cell r="A50" t="str">
            <v>14:Q1</v>
          </cell>
          <cell r="B50">
            <v>6.86</v>
          </cell>
          <cell r="C50">
            <v>5.52</v>
          </cell>
          <cell r="D50">
            <v>4.92</v>
          </cell>
          <cell r="E50">
            <v>3.57</v>
          </cell>
          <cell r="F50">
            <v>11.47</v>
          </cell>
          <cell r="G50">
            <v>6.72</v>
          </cell>
        </row>
        <row r="51">
          <cell r="A51" t="str">
            <v>14:Q2</v>
          </cell>
          <cell r="B51">
            <v>6.91</v>
          </cell>
          <cell r="C51">
            <v>5.47</v>
          </cell>
          <cell r="D51">
            <v>4.6500000000000004</v>
          </cell>
          <cell r="E51">
            <v>3.52</v>
          </cell>
          <cell r="F51">
            <v>11.58</v>
          </cell>
          <cell r="G51">
            <v>6.74</v>
          </cell>
        </row>
        <row r="52">
          <cell r="A52" t="str">
            <v>14:Q3</v>
          </cell>
          <cell r="B52">
            <v>7.1</v>
          </cell>
          <cell r="C52">
            <v>5.42</v>
          </cell>
          <cell r="D52">
            <v>4.4800000000000004</v>
          </cell>
          <cell r="E52">
            <v>3.34</v>
          </cell>
          <cell r="F52">
            <v>11.5</v>
          </cell>
          <cell r="G52">
            <v>6.71</v>
          </cell>
        </row>
        <row r="53">
          <cell r="A53" t="str">
            <v>14:Q4</v>
          </cell>
          <cell r="B53">
            <v>7.15</v>
          </cell>
          <cell r="C53">
            <v>5.35</v>
          </cell>
          <cell r="D53">
            <v>4.2</v>
          </cell>
          <cell r="E53">
            <v>3.18</v>
          </cell>
          <cell r="F53">
            <v>11.12</v>
          </cell>
          <cell r="G53">
            <v>6.81</v>
          </cell>
        </row>
        <row r="54">
          <cell r="A54" t="str">
            <v>15:Q1</v>
          </cell>
          <cell r="B54">
            <v>6.93</v>
          </cell>
          <cell r="C54">
            <v>5.3</v>
          </cell>
          <cell r="D54">
            <v>4.05</v>
          </cell>
          <cell r="E54">
            <v>2.81</v>
          </cell>
          <cell r="F54">
            <v>10.81</v>
          </cell>
          <cell r="G54">
            <v>6.34</v>
          </cell>
        </row>
        <row r="55">
          <cell r="A55" t="str">
            <v>15:Q2</v>
          </cell>
          <cell r="B55">
            <v>7.11</v>
          </cell>
          <cell r="C55">
            <v>5.32</v>
          </cell>
          <cell r="D55">
            <v>4.09</v>
          </cell>
          <cell r="E55">
            <v>2.44</v>
          </cell>
          <cell r="F55">
            <v>10.74</v>
          </cell>
          <cell r="G55">
            <v>6.5</v>
          </cell>
        </row>
        <row r="56">
          <cell r="A56" t="str">
            <v>15:Q3</v>
          </cell>
          <cell r="B56">
            <v>7.05</v>
          </cell>
          <cell r="C56">
            <v>5.45</v>
          </cell>
          <cell r="D56">
            <v>3.94</v>
          </cell>
          <cell r="E56">
            <v>2.42</v>
          </cell>
          <cell r="F56">
            <v>10.47</v>
          </cell>
          <cell r="G56">
            <v>6.45</v>
          </cell>
        </row>
        <row r="57">
          <cell r="A57" t="str">
            <v>15:Q4</v>
          </cell>
          <cell r="B57">
            <v>7.13</v>
          </cell>
          <cell r="C57">
            <v>5.27</v>
          </cell>
          <cell r="D57">
            <v>3.85</v>
          </cell>
          <cell r="E57">
            <v>2.58</v>
          </cell>
          <cell r="F57">
            <v>10.46</v>
          </cell>
          <cell r="G57">
            <v>6.46</v>
          </cell>
        </row>
        <row r="58">
          <cell r="A58" t="str">
            <v>16:Q1</v>
          </cell>
          <cell r="B58">
            <v>7.27</v>
          </cell>
          <cell r="C58">
            <v>5.15</v>
          </cell>
          <cell r="D58">
            <v>3.7</v>
          </cell>
          <cell r="E58">
            <v>2.39</v>
          </cell>
          <cell r="F58">
            <v>10.16</v>
          </cell>
          <cell r="G58">
            <v>6.43</v>
          </cell>
        </row>
        <row r="59">
          <cell r="A59" t="str">
            <v>16:Q2</v>
          </cell>
          <cell r="B59">
            <v>7.28</v>
          </cell>
          <cell r="C59">
            <v>5.07</v>
          </cell>
          <cell r="D59">
            <v>3.43</v>
          </cell>
          <cell r="E59">
            <v>3.17</v>
          </cell>
          <cell r="F59">
            <v>9.8800000000000008</v>
          </cell>
          <cell r="G59">
            <v>6.4</v>
          </cell>
        </row>
        <row r="60">
          <cell r="A60" t="str">
            <v>16:Q3</v>
          </cell>
          <cell r="B60">
            <v>7.35</v>
          </cell>
          <cell r="C60">
            <v>5.15</v>
          </cell>
          <cell r="D60">
            <v>3.43</v>
          </cell>
          <cell r="E60">
            <v>2.95</v>
          </cell>
          <cell r="F60">
            <v>9.8800000000000008</v>
          </cell>
          <cell r="G60">
            <v>6.54</v>
          </cell>
        </row>
        <row r="61">
          <cell r="A61" t="str">
            <v>16:Q4</v>
          </cell>
          <cell r="B61">
            <v>7.46</v>
          </cell>
          <cell r="C61">
            <v>5.52</v>
          </cell>
          <cell r="D61">
            <v>3.38</v>
          </cell>
          <cell r="E61">
            <v>2.73</v>
          </cell>
          <cell r="F61">
            <v>9.8000000000000007</v>
          </cell>
          <cell r="G61">
            <v>6.71</v>
          </cell>
        </row>
        <row r="62">
          <cell r="A62" t="str">
            <v>17:Q1</v>
          </cell>
          <cell r="B62">
            <v>7.35</v>
          </cell>
          <cell r="C62">
            <v>5.9</v>
          </cell>
          <cell r="D62">
            <v>3.51</v>
          </cell>
          <cell r="E62">
            <v>2.52</v>
          </cell>
          <cell r="F62">
            <v>10</v>
          </cell>
          <cell r="G62">
            <v>6.97</v>
          </cell>
        </row>
        <row r="63">
          <cell r="A63" t="str">
            <v>17:Q2</v>
          </cell>
          <cell r="B63">
            <v>7.45</v>
          </cell>
          <cell r="C63">
            <v>6.19</v>
          </cell>
          <cell r="D63">
            <v>3.61</v>
          </cell>
          <cell r="E63">
            <v>1.75</v>
          </cell>
          <cell r="F63">
            <v>10.130000000000001</v>
          </cell>
          <cell r="G63">
            <v>7.08</v>
          </cell>
        </row>
        <row r="64">
          <cell r="A64" t="str">
            <v>17:Q3</v>
          </cell>
          <cell r="B64">
            <v>7.39</v>
          </cell>
          <cell r="C64">
            <v>6.33</v>
          </cell>
          <cell r="D64">
            <v>3.46</v>
          </cell>
          <cell r="E64">
            <v>2.11</v>
          </cell>
          <cell r="F64">
            <v>10.02</v>
          </cell>
          <cell r="G64">
            <v>7.05</v>
          </cell>
        </row>
        <row r="65">
          <cell r="A65" t="str">
            <v>17:Q4</v>
          </cell>
          <cell r="B65">
            <v>7.21</v>
          </cell>
          <cell r="C65">
            <v>6.33</v>
          </cell>
          <cell r="D65">
            <v>3.4</v>
          </cell>
          <cell r="E65">
            <v>2.0499999999999998</v>
          </cell>
          <cell r="F65">
            <v>9.61</v>
          </cell>
          <cell r="G65">
            <v>6.92</v>
          </cell>
        </row>
        <row r="66">
          <cell r="A66" t="str">
            <v>18:Q1</v>
          </cell>
          <cell r="B66">
            <v>7.28</v>
          </cell>
          <cell r="C66">
            <v>6.42</v>
          </cell>
          <cell r="D66">
            <v>3.38</v>
          </cell>
          <cell r="E66">
            <v>2.2200000000000002</v>
          </cell>
          <cell r="F66">
            <v>9.18</v>
          </cell>
          <cell r="G66">
            <v>7.1</v>
          </cell>
        </row>
        <row r="67">
          <cell r="A67" t="str">
            <v>18:Q2</v>
          </cell>
          <cell r="B67">
            <v>7.15</v>
          </cell>
          <cell r="C67">
            <v>6.4</v>
          </cell>
          <cell r="D67">
            <v>3.41</v>
          </cell>
          <cell r="E67">
            <v>2.2599999999999998</v>
          </cell>
          <cell r="F67">
            <v>8.84</v>
          </cell>
          <cell r="G67">
            <v>7.16</v>
          </cell>
        </row>
        <row r="68">
          <cell r="A68" t="str">
            <v>18:Q3</v>
          </cell>
          <cell r="B68">
            <v>7.05</v>
          </cell>
          <cell r="C68">
            <v>6.5</v>
          </cell>
          <cell r="D68">
            <v>3.56</v>
          </cell>
          <cell r="E68">
            <v>1.77</v>
          </cell>
          <cell r="F68">
            <v>9.2100000000000009</v>
          </cell>
          <cell r="G68">
            <v>7.23</v>
          </cell>
        </row>
        <row r="69">
          <cell r="A69" t="str">
            <v>18:Q4</v>
          </cell>
          <cell r="B69">
            <v>7.09</v>
          </cell>
          <cell r="C69">
            <v>6.65</v>
          </cell>
          <cell r="D69">
            <v>3.55</v>
          </cell>
          <cell r="E69">
            <v>1.75</v>
          </cell>
          <cell r="F69">
            <v>9.08</v>
          </cell>
          <cell r="G69">
            <v>7.35</v>
          </cell>
        </row>
        <row r="70">
          <cell r="A70" t="str">
            <v>19:Q1</v>
          </cell>
          <cell r="B70">
            <v>7.07</v>
          </cell>
          <cell r="C70">
            <v>6.71</v>
          </cell>
          <cell r="D70">
            <v>3.5</v>
          </cell>
          <cell r="E70">
            <v>1.89</v>
          </cell>
          <cell r="F70">
            <v>9.5399999999999991</v>
          </cell>
          <cell r="G70">
            <v>7.32</v>
          </cell>
        </row>
        <row r="71">
          <cell r="A71" t="str">
            <v>19:Q2</v>
          </cell>
          <cell r="B71">
            <v>6.93</v>
          </cell>
          <cell r="C71">
            <v>6.86</v>
          </cell>
          <cell r="D71">
            <v>3.43</v>
          </cell>
          <cell r="E71">
            <v>1.9</v>
          </cell>
          <cell r="F71">
            <v>10.01</v>
          </cell>
          <cell r="G71">
            <v>7.25</v>
          </cell>
        </row>
        <row r="72">
          <cell r="A72" t="str">
            <v>19:Q3</v>
          </cell>
          <cell r="B72">
            <v>6.96</v>
          </cell>
          <cell r="C72">
            <v>6.74</v>
          </cell>
          <cell r="D72">
            <v>3.42</v>
          </cell>
          <cell r="E72">
            <v>2.1</v>
          </cell>
          <cell r="F72">
            <v>9.44</v>
          </cell>
          <cell r="G72">
            <v>7.18</v>
          </cell>
        </row>
        <row r="73">
          <cell r="A73" t="str">
            <v>19:Q4</v>
          </cell>
          <cell r="B73">
            <v>6.91</v>
          </cell>
          <cell r="C73">
            <v>6.95</v>
          </cell>
          <cell r="D73">
            <v>3.5</v>
          </cell>
          <cell r="E73">
            <v>2.11</v>
          </cell>
          <cell r="F73">
            <v>9.44</v>
          </cell>
          <cell r="G73">
            <v>7.28</v>
          </cell>
        </row>
        <row r="74">
          <cell r="A74" t="str">
            <v>20:Q1</v>
          </cell>
          <cell r="B74">
            <v>6.89</v>
          </cell>
          <cell r="C74">
            <v>6.84</v>
          </cell>
          <cell r="D74">
            <v>3.48</v>
          </cell>
          <cell r="E74">
            <v>2.02</v>
          </cell>
          <cell r="F74">
            <v>9.0500000000000007</v>
          </cell>
          <cell r="G74">
            <v>7.11</v>
          </cell>
        </row>
        <row r="75">
          <cell r="A75" t="str">
            <v>20:Q2</v>
          </cell>
          <cell r="B75">
            <v>6.29</v>
          </cell>
          <cell r="C75">
            <v>6.2</v>
          </cell>
          <cell r="D75">
            <v>3.1</v>
          </cell>
          <cell r="E75">
            <v>2.0299999999999998</v>
          </cell>
          <cell r="F75">
            <v>6.63</v>
          </cell>
          <cell r="G75">
            <v>6.44</v>
          </cell>
        </row>
        <row r="76">
          <cell r="A76" t="str">
            <v>20:Q3</v>
          </cell>
          <cell r="B76">
            <v>5.79</v>
          </cell>
          <cell r="C76">
            <v>5.7</v>
          </cell>
          <cell r="D76">
            <v>2.54</v>
          </cell>
          <cell r="E76">
            <v>1.73</v>
          </cell>
          <cell r="F76">
            <v>4.54</v>
          </cell>
          <cell r="G76">
            <v>6.53</v>
          </cell>
        </row>
        <row r="77">
          <cell r="A77" t="str">
            <v>20:Q4</v>
          </cell>
          <cell r="B77">
            <v>5.45</v>
          </cell>
          <cell r="C77">
            <v>5.12</v>
          </cell>
          <cell r="D77">
            <v>1.98</v>
          </cell>
          <cell r="E77">
            <v>1.61</v>
          </cell>
          <cell r="F77">
            <v>2.91</v>
          </cell>
          <cell r="G77">
            <v>5.86</v>
          </cell>
        </row>
        <row r="78">
          <cell r="A78" t="str">
            <v>21:Q1</v>
          </cell>
          <cell r="B78">
            <v>5.16</v>
          </cell>
          <cell r="C78">
            <v>4.55</v>
          </cell>
          <cell r="D78">
            <v>1.59</v>
          </cell>
          <cell r="E78">
            <v>1.39</v>
          </cell>
          <cell r="F78">
            <v>1.18</v>
          </cell>
          <cell r="G78">
            <v>5.3</v>
          </cell>
        </row>
        <row r="79">
          <cell r="A79" t="str">
            <v>21:Q2</v>
          </cell>
          <cell r="B79">
            <v>5.08</v>
          </cell>
          <cell r="C79">
            <v>4.3600000000000003</v>
          </cell>
          <cell r="D79">
            <v>1.45</v>
          </cell>
          <cell r="E79">
            <v>1.1399999999999999</v>
          </cell>
          <cell r="F79">
            <v>1.2</v>
          </cell>
          <cell r="G79">
            <v>5.14</v>
          </cell>
        </row>
        <row r="80">
          <cell r="A80" t="str">
            <v>21:Q3</v>
          </cell>
          <cell r="B80">
            <v>5</v>
          </cell>
          <cell r="C80">
            <v>4.3099999999999996</v>
          </cell>
          <cell r="D80">
            <v>1.39</v>
          </cell>
          <cell r="E80">
            <v>1.42</v>
          </cell>
          <cell r="F80">
            <v>1.25</v>
          </cell>
          <cell r="G80">
            <v>4.3899999999999997</v>
          </cell>
        </row>
        <row r="81">
          <cell r="A81" t="str">
            <v>21:Q4</v>
          </cell>
          <cell r="B81">
            <v>4.96</v>
          </cell>
          <cell r="C81">
            <v>4.0999999999999996</v>
          </cell>
          <cell r="D81">
            <v>1.57</v>
          </cell>
          <cell r="E81">
            <v>1.57</v>
          </cell>
          <cell r="F81">
            <v>1.0900000000000001</v>
          </cell>
          <cell r="G81">
            <v>4.33</v>
          </cell>
        </row>
        <row r="82">
          <cell r="A82" t="str">
            <v>22:Q1</v>
          </cell>
          <cell r="B82">
            <v>5.0999999999999996</v>
          </cell>
          <cell r="C82">
            <v>4.2699999999999996</v>
          </cell>
          <cell r="D82">
            <v>1.66</v>
          </cell>
          <cell r="E82">
            <v>1.65</v>
          </cell>
          <cell r="F82">
            <v>1.05</v>
          </cell>
          <cell r="G82">
            <v>4.6500000000000004</v>
          </cell>
        </row>
        <row r="83">
          <cell r="A83" t="str">
            <v>22:Q2</v>
          </cell>
          <cell r="B83">
            <v>5.64</v>
          </cell>
          <cell r="C83">
            <v>4.76</v>
          </cell>
          <cell r="D83">
            <v>1.9</v>
          </cell>
          <cell r="E83">
            <v>2.31</v>
          </cell>
          <cell r="F83">
            <v>1.1299999999999999</v>
          </cell>
          <cell r="G83">
            <v>5.2</v>
          </cell>
        </row>
        <row r="84">
          <cell r="A84" t="str">
            <v>22:Q3</v>
          </cell>
          <cell r="B84">
            <v>6.21</v>
          </cell>
          <cell r="C84">
            <v>5.24</v>
          </cell>
          <cell r="D84">
            <v>2.1</v>
          </cell>
          <cell r="E84">
            <v>2.04</v>
          </cell>
          <cell r="F84">
            <v>1.17</v>
          </cell>
          <cell r="G84">
            <v>5.81</v>
          </cell>
        </row>
        <row r="85">
          <cell r="A85" t="str">
            <v>22:Q4</v>
          </cell>
          <cell r="B85">
            <v>6.64</v>
          </cell>
          <cell r="C85">
            <v>5.87</v>
          </cell>
          <cell r="D85">
            <v>2.25</v>
          </cell>
          <cell r="E85">
            <v>1.95</v>
          </cell>
          <cell r="F85">
            <v>1.18</v>
          </cell>
          <cell r="G85">
            <v>6.33</v>
          </cell>
        </row>
        <row r="86">
          <cell r="A86" t="str">
            <v>23:Q1</v>
          </cell>
          <cell r="B86">
            <v>6.88</v>
          </cell>
          <cell r="C86">
            <v>6.51</v>
          </cell>
          <cell r="D86">
            <v>2.4300000000000002</v>
          </cell>
          <cell r="E86">
            <v>1.94</v>
          </cell>
          <cell r="F86">
            <v>1.06</v>
          </cell>
          <cell r="G86">
            <v>6.67</v>
          </cell>
        </row>
        <row r="87">
          <cell r="A87" t="str">
            <v>23:Q2</v>
          </cell>
          <cell r="B87">
            <v>7.28</v>
          </cell>
          <cell r="C87">
            <v>7.2</v>
          </cell>
          <cell r="D87">
            <v>2.56</v>
          </cell>
          <cell r="E87">
            <v>1.48</v>
          </cell>
          <cell r="F87">
            <v>1.01</v>
          </cell>
          <cell r="G87">
            <v>7.1</v>
          </cell>
        </row>
        <row r="88">
          <cell r="A88" t="str">
            <v>23:Q3</v>
          </cell>
          <cell r="B88">
            <v>7.39</v>
          </cell>
          <cell r="C88">
            <v>8.01</v>
          </cell>
          <cell r="D88">
            <v>2.8</v>
          </cell>
          <cell r="E88">
            <v>1.8</v>
          </cell>
          <cell r="F88">
            <v>0.92</v>
          </cell>
          <cell r="G88">
            <v>7.25</v>
          </cell>
        </row>
        <row r="89">
          <cell r="A89" t="str">
            <v>23:Q4</v>
          </cell>
          <cell r="B89">
            <v>7.69</v>
          </cell>
          <cell r="C89">
            <v>8.52</v>
          </cell>
          <cell r="D89">
            <v>2.99</v>
          </cell>
          <cell r="E89">
            <v>2.0099999999999998</v>
          </cell>
          <cell r="F89">
            <v>0.92</v>
          </cell>
          <cell r="G89">
            <v>7.5</v>
          </cell>
        </row>
        <row r="90">
          <cell r="A90" t="str">
            <v>24:Q1</v>
          </cell>
          <cell r="B90">
            <v>7.94</v>
          </cell>
          <cell r="C90">
            <v>8.93</v>
          </cell>
          <cell r="D90">
            <v>3.24</v>
          </cell>
          <cell r="E90">
            <v>2.14</v>
          </cell>
          <cell r="F90">
            <v>0.98</v>
          </cell>
          <cell r="G90">
            <v>7.55</v>
          </cell>
        </row>
        <row r="91">
          <cell r="A91" t="str">
            <v>24:Q2</v>
          </cell>
          <cell r="B91">
            <v>7.95</v>
          </cell>
          <cell r="C91">
            <v>9.0500000000000007</v>
          </cell>
          <cell r="D91">
            <v>3.35</v>
          </cell>
          <cell r="E91">
            <v>2.13</v>
          </cell>
          <cell r="F91">
            <v>0.92</v>
          </cell>
          <cell r="G91">
            <v>7.48</v>
          </cell>
        </row>
        <row r="92">
          <cell r="A92" t="str">
            <v>24:Q3</v>
          </cell>
          <cell r="B92">
            <v>8.1199999999999992</v>
          </cell>
          <cell r="C92">
            <v>8.7899999999999991</v>
          </cell>
          <cell r="D92">
            <v>3.6</v>
          </cell>
          <cell r="E92">
            <v>2.19</v>
          </cell>
          <cell r="F92">
            <v>0.92</v>
          </cell>
          <cell r="G92">
            <v>7.56</v>
          </cell>
        </row>
        <row r="93">
          <cell r="A93" t="str">
            <v>24:Q4</v>
          </cell>
          <cell r="B93">
            <v>8.08</v>
          </cell>
          <cell r="C93">
            <v>8.9600000000000009</v>
          </cell>
          <cell r="D93">
            <v>3.61</v>
          </cell>
          <cell r="E93">
            <v>2.15</v>
          </cell>
          <cell r="F93">
            <v>0.87</v>
          </cell>
          <cell r="G93">
            <v>7.58</v>
          </cell>
        </row>
        <row r="94">
          <cell r="A94" t="str">
            <v>25:Q1</v>
          </cell>
          <cell r="B94">
            <v>7.99</v>
          </cell>
          <cell r="C94">
            <v>8.75</v>
          </cell>
          <cell r="D94">
            <v>3.71</v>
          </cell>
          <cell r="E94">
            <v>2.29</v>
          </cell>
          <cell r="F94">
            <v>8.19</v>
          </cell>
          <cell r="G94">
            <v>7.52</v>
          </cell>
        </row>
        <row r="95">
          <cell r="A95" t="str">
            <v>25:Q2</v>
          </cell>
          <cell r="B95">
            <v>7.9592174408030667</v>
          </cell>
          <cell r="C95">
            <v>8.5817774180998168</v>
          </cell>
          <cell r="D95">
            <v>3.6760779582749161</v>
          </cell>
          <cell r="E95">
            <v>2.3893120939809944</v>
          </cell>
          <cell r="F95">
            <v>13.033073094715292</v>
          </cell>
          <cell r="G95">
            <v>7.4577130121479147</v>
          </cell>
        </row>
        <row r="96">
          <cell r="A96" t="str">
            <v>25:Q3</v>
          </cell>
          <cell r="B96">
            <v>7.79</v>
          </cell>
          <cell r="C96">
            <v>8.8800000000000008</v>
          </cell>
          <cell r="D96">
            <v>3.62</v>
          </cell>
          <cell r="E96">
            <v>2.2400000000000002</v>
          </cell>
          <cell r="F96">
            <v>14.41</v>
          </cell>
          <cell r="G96">
            <v>7.4</v>
          </cell>
        </row>
        <row r="97">
          <cell r="A97" t="str">
            <v>25:Q4</v>
          </cell>
          <cell r="B97">
            <v>7.7013193481441213</v>
          </cell>
          <cell r="C97">
            <v>8.6858163567614053</v>
          </cell>
          <cell r="D97">
            <v>3.8508933453413272</v>
          </cell>
          <cell r="E97">
            <v>2.2378567575605071</v>
          </cell>
          <cell r="F97">
            <v>16.346498283033551</v>
          </cell>
          <cell r="G97">
            <v>7.2749702356325301</v>
          </cell>
        </row>
        <row r="98">
          <cell r="A98" t="str">
            <v>26:Q1</v>
          </cell>
          <cell r="B98">
            <v>7.72</v>
          </cell>
          <cell r="C98">
            <v>8.61</v>
          </cell>
          <cell r="D98">
            <v>3.76</v>
          </cell>
          <cell r="E98">
            <v>2.3199999999999998</v>
          </cell>
          <cell r="F98">
            <v>11.03</v>
          </cell>
          <cell r="G98">
            <v>7.43</v>
          </cell>
        </row>
      </sheetData>
      <sheetData sheetId="23" refreshError="1"/>
      <sheetData sheetId="24">
        <row r="1">
          <cell r="A1" t="str">
            <v xml:space="preserve">New Seriously Delinquent* Balances by Loan Type </v>
          </cell>
        </row>
        <row r="2">
          <cell r="A2" t="str">
            <v>Percent</v>
          </cell>
        </row>
        <row r="3">
          <cell r="A3" t="str">
            <v>*90 or more days delinquent</v>
          </cell>
          <cell r="E3" t="str">
            <v>Source: New York Fed Consumer Credit Panel/Equifax</v>
          </cell>
        </row>
        <row r="4">
          <cell r="A4" t="str">
            <v>Return to Table of Contents</v>
          </cell>
        </row>
        <row r="5">
          <cell r="B5" t="str">
            <v>AUTO</v>
          </cell>
          <cell r="C5" t="str">
            <v>CC</v>
          </cell>
          <cell r="D5" t="str">
            <v>MORTGAGE</v>
          </cell>
          <cell r="E5" t="str">
            <v>HELOC</v>
          </cell>
          <cell r="F5" t="str">
            <v>STUDENT LOAN</v>
          </cell>
          <cell r="G5" t="str">
            <v>OTHER</v>
          </cell>
        </row>
        <row r="6">
          <cell r="A6" t="str">
            <v>03:Q1</v>
          </cell>
          <cell r="B6">
            <v>2.1791892457674606</v>
          </cell>
          <cell r="C6">
            <v>8.2734844601994908</v>
          </cell>
          <cell r="D6">
            <v>1.4426312396208989</v>
          </cell>
          <cell r="E6">
            <v>0.8050409447037653</v>
          </cell>
          <cell r="G6">
            <v>4.8279040693233499</v>
          </cell>
        </row>
        <row r="7">
          <cell r="A7" t="str">
            <v>03:Q2</v>
          </cell>
          <cell r="B7">
            <v>2.1881880282997934</v>
          </cell>
          <cell r="C7">
            <v>8.4072801431015485</v>
          </cell>
          <cell r="D7">
            <v>1.4983949072586997</v>
          </cell>
          <cell r="E7">
            <v>0.78024263123976045</v>
          </cell>
          <cell r="G7">
            <v>4.9852842067639829</v>
          </cell>
        </row>
        <row r="8">
          <cell r="A8" t="str">
            <v>03:Q3</v>
          </cell>
          <cell r="B8">
            <v>2.1392932829928308</v>
          </cell>
          <cell r="C8">
            <v>8.1726321306881697</v>
          </cell>
          <cell r="D8">
            <v>1.5027409535584235</v>
          </cell>
          <cell r="E8">
            <v>0.70695548040959588</v>
          </cell>
          <cell r="G8">
            <v>5.0611726596789284</v>
          </cell>
        </row>
        <row r="9">
          <cell r="A9" t="str">
            <v>03:Q4</v>
          </cell>
          <cell r="B9">
            <v>2.0443324094168509</v>
          </cell>
          <cell r="C9">
            <v>8.0610196607280784</v>
          </cell>
          <cell r="D9">
            <v>1.4447436421785429</v>
          </cell>
          <cell r="E9">
            <v>0.47355916869744397</v>
          </cell>
          <cell r="G9">
            <v>4.8835082036824797</v>
          </cell>
        </row>
        <row r="10">
          <cell r="A10" t="str">
            <v>04:Q1</v>
          </cell>
          <cell r="B10">
            <v>1.9659106391389125</v>
          </cell>
          <cell r="C10">
            <v>7.7748184707777739</v>
          </cell>
          <cell r="D10">
            <v>1.3375596325862813</v>
          </cell>
          <cell r="E10">
            <v>0.41156217796337419</v>
          </cell>
          <cell r="F10">
            <v>5.7699109216673712</v>
          </cell>
          <cell r="G10">
            <v>4.9829437741882332</v>
          </cell>
        </row>
        <row r="11">
          <cell r="A11" t="str">
            <v>04:Q2</v>
          </cell>
          <cell r="B11">
            <v>1.8215692982685037</v>
          </cell>
          <cell r="C11">
            <v>7.3388917213910538</v>
          </cell>
          <cell r="D11">
            <v>1.2937059620948927</v>
          </cell>
          <cell r="E11">
            <v>0.35712742888096966</v>
          </cell>
          <cell r="F11">
            <v>5.3974633387301267</v>
          </cell>
          <cell r="G11">
            <v>5.1644746935116626</v>
          </cell>
        </row>
        <row r="12">
          <cell r="A12" t="str">
            <v>04:Q3</v>
          </cell>
          <cell r="B12">
            <v>1.7709574776887271</v>
          </cell>
          <cell r="C12">
            <v>7.1366732526250951</v>
          </cell>
          <cell r="D12">
            <v>1.3447181888282516</v>
          </cell>
          <cell r="E12">
            <v>0.34806230584639841</v>
          </cell>
          <cell r="F12">
            <v>5.5867035417735496</v>
          </cell>
          <cell r="G12">
            <v>4.9563272726572203</v>
          </cell>
        </row>
        <row r="13">
          <cell r="A13" t="str">
            <v>04:Q4</v>
          </cell>
          <cell r="B13">
            <v>1.7793620132731398</v>
          </cell>
          <cell r="C13">
            <v>7.0019459383229492</v>
          </cell>
          <cell r="D13">
            <v>1.3600444905720586</v>
          </cell>
          <cell r="E13">
            <v>0.29315984902417763</v>
          </cell>
          <cell r="F13">
            <v>6.0886258452703581</v>
          </cell>
          <cell r="G13">
            <v>4.7975451900115553</v>
          </cell>
        </row>
        <row r="14">
          <cell r="A14" t="str">
            <v>05:Q1</v>
          </cell>
          <cell r="B14">
            <v>1.691132031303122</v>
          </cell>
          <cell r="C14">
            <v>6.6428553084773219</v>
          </cell>
          <cell r="D14">
            <v>1.359988069450039</v>
          </cell>
          <cell r="E14">
            <v>0.39817377664052883</v>
          </cell>
          <cell r="F14">
            <v>6.8072134281778292</v>
          </cell>
          <cell r="G14">
            <v>4.4308515723637738</v>
          </cell>
        </row>
        <row r="15">
          <cell r="A15" t="str">
            <v>05:Q2</v>
          </cell>
          <cell r="B15">
            <v>1.6750560622245785</v>
          </cell>
          <cell r="C15">
            <v>6.3629577780351969</v>
          </cell>
          <cell r="D15">
            <v>1.3684621184205961</v>
          </cell>
          <cell r="E15">
            <v>0.42638881834207182</v>
          </cell>
          <cell r="F15">
            <v>6.8261309107328776</v>
          </cell>
          <cell r="G15">
            <v>4.1060329802474804</v>
          </cell>
        </row>
        <row r="16">
          <cell r="A16" t="str">
            <v>05:Q3</v>
          </cell>
          <cell r="B16">
            <v>1.6621457627801353</v>
          </cell>
          <cell r="C16">
            <v>6.2744367599810236</v>
          </cell>
          <cell r="D16">
            <v>1.3088901912884814</v>
          </cell>
          <cell r="E16">
            <v>0.42919692678629512</v>
          </cell>
          <cell r="F16">
            <v>7.1734092524887796</v>
          </cell>
          <cell r="G16">
            <v>4.2548875967756175</v>
          </cell>
        </row>
        <row r="17">
          <cell r="A17" t="str">
            <v>05:Q4</v>
          </cell>
          <cell r="B17">
            <v>1.6698534168602255</v>
          </cell>
          <cell r="C17">
            <v>5.7920627749452347</v>
          </cell>
          <cell r="D17">
            <v>1.2695267358778861</v>
          </cell>
          <cell r="E17">
            <v>0.3771899251732716</v>
          </cell>
          <cell r="F17">
            <v>6.7048172954429495</v>
          </cell>
          <cell r="G17">
            <v>4.2139815013743229</v>
          </cell>
        </row>
        <row r="18">
          <cell r="A18" t="str">
            <v>06:Q1</v>
          </cell>
          <cell r="B18">
            <v>1.6600516729304757</v>
          </cell>
          <cell r="C18">
            <v>5.5128175467057803</v>
          </cell>
          <cell r="D18">
            <v>1.3158152480796932</v>
          </cell>
          <cell r="E18">
            <v>0.30799268359337728</v>
          </cell>
          <cell r="F18">
            <v>6.6834008253220194</v>
          </cell>
          <cell r="G18">
            <v>4.1496364127018053</v>
          </cell>
        </row>
        <row r="19">
          <cell r="A19" t="str">
            <v>06:Q2</v>
          </cell>
          <cell r="B19">
            <v>1.785888191911015</v>
          </cell>
          <cell r="C19">
            <v>5.6104092081422055</v>
          </cell>
          <cell r="D19">
            <v>1.3064439633154283</v>
          </cell>
          <cell r="E19">
            <v>0.47700800799283666</v>
          </cell>
          <cell r="F19">
            <v>7.1174016478424429</v>
          </cell>
          <cell r="G19">
            <v>4.0020402416934431</v>
          </cell>
        </row>
        <row r="20">
          <cell r="A20" t="str">
            <v>06:Q3</v>
          </cell>
          <cell r="B20">
            <v>2.0164130494423982</v>
          </cell>
          <cell r="C20">
            <v>5.5941602977659359</v>
          </cell>
          <cell r="D20">
            <v>1.458316633807903</v>
          </cell>
          <cell r="E20">
            <v>0.66278980758066997</v>
          </cell>
          <cell r="F20">
            <v>7.350776117256169</v>
          </cell>
          <cell r="G20">
            <v>3.8219519296346074</v>
          </cell>
        </row>
        <row r="21">
          <cell r="A21" t="str">
            <v>06:Q4</v>
          </cell>
          <cell r="B21">
            <v>2.2186587460128457</v>
          </cell>
          <cell r="C21">
            <v>5.829648488659533</v>
          </cell>
          <cell r="D21">
            <v>1.6791256614913688</v>
          </cell>
          <cell r="E21">
            <v>0.78715110564862478</v>
          </cell>
          <cell r="F21">
            <v>7.8786645254485945</v>
          </cell>
          <cell r="G21">
            <v>3.5536824426090741</v>
          </cell>
        </row>
        <row r="22">
          <cell r="A22" t="str">
            <v>07:Q1</v>
          </cell>
          <cell r="B22">
            <v>2.3363660573805367</v>
          </cell>
          <cell r="C22">
            <v>6.1787617825007493</v>
          </cell>
          <cell r="D22">
            <v>1.93730109220863</v>
          </cell>
          <cell r="E22">
            <v>0.97949262304029383</v>
          </cell>
          <cell r="F22">
            <v>8.0543572493032976</v>
          </cell>
          <cell r="G22">
            <v>3.5866156536252234</v>
          </cell>
        </row>
        <row r="23">
          <cell r="A23" t="str">
            <v>07:Q2</v>
          </cell>
          <cell r="B23">
            <v>2.3630840619356346</v>
          </cell>
          <cell r="C23">
            <v>6.3604681814765724</v>
          </cell>
          <cell r="D23">
            <v>2.4036448492899805</v>
          </cell>
          <cell r="E23">
            <v>0.9935442350092869</v>
          </cell>
          <cell r="F23">
            <v>8.1051958307112795</v>
          </cell>
          <cell r="G23">
            <v>3.9253162855745898</v>
          </cell>
        </row>
        <row r="24">
          <cell r="A24" t="str">
            <v>07:Q3</v>
          </cell>
          <cell r="B24">
            <v>2.3402593118822068</v>
          </cell>
          <cell r="C24">
            <v>6.5245527742987486</v>
          </cell>
          <cell r="D24">
            <v>2.8929909075783251</v>
          </cell>
          <cell r="E24">
            <v>1.4469415122533422</v>
          </cell>
          <cell r="F24">
            <v>7.705380994828384</v>
          </cell>
          <cell r="G24">
            <v>4.1243879855630121</v>
          </cell>
        </row>
        <row r="25">
          <cell r="A25" t="str">
            <v>07:Q4</v>
          </cell>
          <cell r="B25">
            <v>2.4406888759085721</v>
          </cell>
          <cell r="C25">
            <v>6.7452654948820054</v>
          </cell>
          <cell r="D25">
            <v>3.681625118559352</v>
          </cell>
          <cell r="E25">
            <v>1.8179586238683321</v>
          </cell>
          <cell r="F25">
            <v>7.8542604135865375</v>
          </cell>
          <cell r="G25">
            <v>4.6118907518637746</v>
          </cell>
        </row>
        <row r="26">
          <cell r="A26" t="str">
            <v>08:Q1</v>
          </cell>
          <cell r="B26">
            <v>2.7118030994715427</v>
          </cell>
          <cell r="C26">
            <v>7.2660433891631211</v>
          </cell>
          <cell r="D26">
            <v>4.7125062520196987</v>
          </cell>
          <cell r="E26">
            <v>2.4079306135792828</v>
          </cell>
          <cell r="F26">
            <v>7.7224668252693442</v>
          </cell>
          <cell r="G26">
            <v>5.0716377564298014</v>
          </cell>
        </row>
        <row r="27">
          <cell r="A27" t="str">
            <v>08:Q2</v>
          </cell>
          <cell r="B27">
            <v>2.8483948053630268</v>
          </cell>
          <cell r="C27">
            <v>7.6610448149241339</v>
          </cell>
          <cell r="D27">
            <v>5.321794064060815</v>
          </cell>
          <cell r="E27">
            <v>2.9754794697048599</v>
          </cell>
          <cell r="F27">
            <v>7.31774395577626</v>
          </cell>
          <cell r="G27">
            <v>5.1906073205416003</v>
          </cell>
        </row>
        <row r="28">
          <cell r="A28" t="str">
            <v>08:Q3</v>
          </cell>
          <cell r="B28">
            <v>3.1456783510915938</v>
          </cell>
          <cell r="C28">
            <v>8.1290307865745</v>
          </cell>
          <cell r="D28">
            <v>6.0426629944322157</v>
          </cell>
          <cell r="E28">
            <v>3.3497790710575321</v>
          </cell>
          <cell r="F28">
            <v>7.5709263676558853</v>
          </cell>
          <cell r="G28">
            <v>6.3427738351770468</v>
          </cell>
        </row>
        <row r="29">
          <cell r="A29" t="str">
            <v>08:Q4</v>
          </cell>
          <cell r="B29">
            <v>3.2857859243174357</v>
          </cell>
          <cell r="C29">
            <v>8.7042189118748663</v>
          </cell>
          <cell r="D29">
            <v>6.653092571074394</v>
          </cell>
          <cell r="E29">
            <v>4.153671576605471</v>
          </cell>
          <cell r="F29">
            <v>7.3777621937843127</v>
          </cell>
          <cell r="G29">
            <v>7.0573297486279882</v>
          </cell>
        </row>
        <row r="30">
          <cell r="A30" t="str">
            <v>09:Q1</v>
          </cell>
          <cell r="B30">
            <v>3.3574305392506312</v>
          </cell>
          <cell r="C30">
            <v>9.5603260552500604</v>
          </cell>
          <cell r="D30">
            <v>7.3878925493547882</v>
          </cell>
          <cell r="E30">
            <v>4.735698305415152</v>
          </cell>
          <cell r="F30">
            <v>7.3235989990154096</v>
          </cell>
          <cell r="G30">
            <v>7.6537511303569765</v>
          </cell>
        </row>
        <row r="31">
          <cell r="A31" t="str">
            <v>09:Q2</v>
          </cell>
          <cell r="B31">
            <v>3.4768885861809533</v>
          </cell>
          <cell r="C31">
            <v>10.196476671881657</v>
          </cell>
          <cell r="D31">
            <v>8.2623034643292304</v>
          </cell>
          <cell r="E31">
            <v>4.9809029043212192</v>
          </cell>
          <cell r="F31">
            <v>7.6086259439099333</v>
          </cell>
          <cell r="G31">
            <v>8.0839667165015481</v>
          </cell>
        </row>
        <row r="32">
          <cell r="A32" t="str">
            <v>09:Q3</v>
          </cell>
          <cell r="B32">
            <v>3.3434858532186693</v>
          </cell>
          <cell r="C32">
            <v>10.507395578628621</v>
          </cell>
          <cell r="D32">
            <v>8.3526906837658395</v>
          </cell>
          <cell r="E32">
            <v>5.0508199049928741</v>
          </cell>
          <cell r="F32">
            <v>7.645880540166897</v>
          </cell>
          <cell r="G32">
            <v>7.7716957135303275</v>
          </cell>
        </row>
        <row r="33">
          <cell r="A33" t="str">
            <v>09:Q4</v>
          </cell>
          <cell r="B33">
            <v>3.2438041887768989</v>
          </cell>
          <cell r="C33">
            <v>10.956993905053531</v>
          </cell>
          <cell r="D33">
            <v>8.3046577565009567</v>
          </cell>
          <cell r="E33">
            <v>4.543015077202897</v>
          </cell>
          <cell r="F33">
            <v>7.929107245620834</v>
          </cell>
          <cell r="G33">
            <v>7.7189771546895605</v>
          </cell>
        </row>
        <row r="34">
          <cell r="A34" t="str">
            <v>10:Q1</v>
          </cell>
          <cell r="B34">
            <v>3.0975764611376868</v>
          </cell>
          <cell r="C34">
            <v>10.800359841001722</v>
          </cell>
          <cell r="D34">
            <v>7.6976916093053074</v>
          </cell>
          <cell r="E34">
            <v>3.9571201652582473</v>
          </cell>
          <cell r="F34">
            <v>8.1986649920078065</v>
          </cell>
          <cell r="G34">
            <v>7.5009922432554044</v>
          </cell>
        </row>
        <row r="35">
          <cell r="A35" t="str">
            <v>10:Q2</v>
          </cell>
          <cell r="B35">
            <v>2.8538460279233342</v>
          </cell>
          <cell r="C35">
            <v>10.634667769940236</v>
          </cell>
          <cell r="D35">
            <v>6.9548227896856218</v>
          </cell>
          <cell r="E35">
            <v>3.7815886825161407</v>
          </cell>
          <cell r="F35">
            <v>8.6272680492323754</v>
          </cell>
          <cell r="G35">
            <v>7.3006834669721936</v>
          </cell>
        </row>
        <row r="36">
          <cell r="A36" t="str">
            <v>10:Q3</v>
          </cell>
          <cell r="B36">
            <v>2.5547735212228124</v>
          </cell>
          <cell r="C36">
            <v>10.23156047520688</v>
          </cell>
          <cell r="D36">
            <v>6.4942495751112217</v>
          </cell>
          <cell r="E36">
            <v>3.262519533131683</v>
          </cell>
          <cell r="F36">
            <v>8.6885201167845096</v>
          </cell>
          <cell r="G36">
            <v>6.8789497944330673</v>
          </cell>
        </row>
        <row r="37">
          <cell r="A37" t="str">
            <v>10:Q4</v>
          </cell>
          <cell r="B37">
            <v>2.3113559291566004</v>
          </cell>
          <cell r="C37">
            <v>9.2051074476649148</v>
          </cell>
          <cell r="D37">
            <v>5.8364039780940864</v>
          </cell>
          <cell r="E37">
            <v>3.1229453102897637</v>
          </cell>
          <cell r="F37">
            <v>8.4598257480004957</v>
          </cell>
          <cell r="G37">
            <v>6.5130285650073105</v>
          </cell>
        </row>
        <row r="38">
          <cell r="A38" t="str">
            <v>11:Q1</v>
          </cell>
          <cell r="B38">
            <v>2.0259897936839528</v>
          </cell>
          <cell r="C38">
            <v>7.9896907193777098</v>
          </cell>
          <cell r="D38">
            <v>5.2932289931905014</v>
          </cell>
          <cell r="E38">
            <v>3.002755186967347</v>
          </cell>
          <cell r="F38">
            <v>8.489839259295346</v>
          </cell>
          <cell r="G38">
            <v>5.9121741022525685</v>
          </cell>
        </row>
        <row r="39">
          <cell r="A39" t="str">
            <v>11:Q2</v>
          </cell>
          <cell r="B39">
            <v>1.8578035102637942</v>
          </cell>
          <cell r="C39">
            <v>6.9040344820102888</v>
          </cell>
          <cell r="D39">
            <v>4.8267121274348748</v>
          </cell>
          <cell r="E39">
            <v>2.7010500144151774</v>
          </cell>
          <cell r="F39">
            <v>8.59900828014732</v>
          </cell>
          <cell r="G39">
            <v>5.6128287689624692</v>
          </cell>
        </row>
        <row r="40">
          <cell r="A40" t="str">
            <v>11:Q3</v>
          </cell>
          <cell r="B40">
            <v>1.8062663428367129</v>
          </cell>
          <cell r="C40">
            <v>6.2610852211087931</v>
          </cell>
          <cell r="D40">
            <v>4.6429358005732677</v>
          </cell>
          <cell r="E40">
            <v>2.9672801056468261</v>
          </cell>
          <cell r="F40">
            <v>8.8727938806304376</v>
          </cell>
          <cell r="G40">
            <v>5.1051374312559989</v>
          </cell>
        </row>
        <row r="41">
          <cell r="A41" t="str">
            <v>11:Q4</v>
          </cell>
          <cell r="B41">
            <v>1.6885637211168154</v>
          </cell>
          <cell r="C41">
            <v>5.8708127243800723</v>
          </cell>
          <cell r="D41">
            <v>4.5841241879191186</v>
          </cell>
          <cell r="E41">
            <v>3.0553049161867718</v>
          </cell>
          <cell r="F41">
            <v>9.3092861842558765</v>
          </cell>
          <cell r="G41">
            <v>4.6352881036062374</v>
          </cell>
        </row>
        <row r="42">
          <cell r="A42" t="str">
            <v>12:Q1</v>
          </cell>
          <cell r="B42">
            <v>1.6267370134929613</v>
          </cell>
          <cell r="C42">
            <v>5.4112819430268111</v>
          </cell>
          <cell r="D42">
            <v>4.4087048872725951</v>
          </cell>
          <cell r="E42">
            <v>2.7666225051337294</v>
          </cell>
          <cell r="F42">
            <v>9.3893787193369533</v>
          </cell>
          <cell r="G42">
            <v>4.3717504667803846</v>
          </cell>
        </row>
        <row r="43">
          <cell r="A43" t="str">
            <v>12:Q2</v>
          </cell>
          <cell r="B43">
            <v>1.596907822377363</v>
          </cell>
          <cell r="C43">
            <v>5.1918713954792706</v>
          </cell>
          <cell r="D43">
            <v>4.1828000115769477</v>
          </cell>
          <cell r="E43">
            <v>2.697960179773955</v>
          </cell>
          <cell r="F43">
            <v>9.8360239211690228</v>
          </cell>
          <cell r="G43">
            <v>4.0640339023353178</v>
          </cell>
        </row>
        <row r="44">
          <cell r="A44" t="str">
            <v>12:Q3</v>
          </cell>
          <cell r="B44">
            <v>1.5168733337039799</v>
          </cell>
          <cell r="C44">
            <v>4.8538187169797755</v>
          </cell>
          <cell r="D44">
            <v>3.8770311067912955</v>
          </cell>
          <cell r="E44">
            <v>2.3950819260436256</v>
          </cell>
          <cell r="F44">
            <v>10.306620468891557</v>
          </cell>
          <cell r="G44">
            <v>3.9825311448488443</v>
          </cell>
        </row>
        <row r="45">
          <cell r="A45" t="str">
            <v>12:Q4</v>
          </cell>
          <cell r="B45">
            <v>1.5234548698042922</v>
          </cell>
          <cell r="C45">
            <v>4.5082997416817081</v>
          </cell>
          <cell r="D45">
            <v>3.4846633994010183</v>
          </cell>
          <cell r="E45">
            <v>1.8749118455774558</v>
          </cell>
          <cell r="F45">
            <v>10.278291557611404</v>
          </cell>
          <cell r="G45">
            <v>3.8869314790688732</v>
          </cell>
        </row>
        <row r="46">
          <cell r="A46" t="str">
            <v>13:Q1</v>
          </cell>
          <cell r="B46">
            <v>1.5710247648683593</v>
          </cell>
          <cell r="C46">
            <v>4.4131694247647317</v>
          </cell>
          <cell r="D46">
            <v>3.1755272785592417</v>
          </cell>
          <cell r="E46">
            <v>1.8113671683477224</v>
          </cell>
          <cell r="F46">
            <v>10.53971347211565</v>
          </cell>
          <cell r="G46">
            <v>3.9933496290636374</v>
          </cell>
        </row>
        <row r="47">
          <cell r="A47" t="str">
            <v>13:Q2</v>
          </cell>
          <cell r="B47">
            <v>1.6281277498787483</v>
          </cell>
          <cell r="C47">
            <v>4.2818563059350518</v>
          </cell>
          <cell r="D47">
            <v>2.9919178480318673</v>
          </cell>
          <cell r="E47">
            <v>1.647875553499409</v>
          </cell>
          <cell r="F47">
            <v>9.9511059757067652</v>
          </cell>
          <cell r="G47">
            <v>4.0253938088603824</v>
          </cell>
        </row>
        <row r="48">
          <cell r="A48" t="str">
            <v>13:Q3</v>
          </cell>
          <cell r="B48">
            <v>1.6309442818113029</v>
          </cell>
          <cell r="C48">
            <v>4.0295679498284995</v>
          </cell>
          <cell r="D48">
            <v>2.740519757077494</v>
          </cell>
          <cell r="E48">
            <v>1.4813259540323562</v>
          </cell>
          <cell r="F48">
            <v>9.7837818908911078</v>
          </cell>
          <cell r="G48">
            <v>3.9118811094557615</v>
          </cell>
        </row>
        <row r="49">
          <cell r="A49" t="str">
            <v>13:Q4</v>
          </cell>
          <cell r="B49">
            <v>1.5757634779503611</v>
          </cell>
          <cell r="C49">
            <v>3.9094952024905498</v>
          </cell>
          <cell r="D49">
            <v>2.5379991009631135</v>
          </cell>
          <cell r="E49">
            <v>1.5093688828448522</v>
          </cell>
          <cell r="F49">
            <v>10.212974781434445</v>
          </cell>
          <cell r="G49">
            <v>3.9342202972826397</v>
          </cell>
        </row>
        <row r="50">
          <cell r="A50" t="str">
            <v>14:Q1</v>
          </cell>
          <cell r="B50">
            <v>1.5561692062586028</v>
          </cell>
          <cell r="C50">
            <v>3.8699217455810326</v>
          </cell>
          <cell r="D50">
            <v>2.3275378724476292</v>
          </cell>
          <cell r="E50">
            <v>1.7282168394809319</v>
          </cell>
          <cell r="F50">
            <v>10.208126721530494</v>
          </cell>
          <cell r="G50">
            <v>3.8240364480346511</v>
          </cell>
        </row>
        <row r="51">
          <cell r="A51" t="str">
            <v>14:Q2</v>
          </cell>
          <cell r="B51">
            <v>1.6120248868582094</v>
          </cell>
          <cell r="C51">
            <v>3.7387121860399155</v>
          </cell>
          <cell r="D51">
            <v>2.1082392008140518</v>
          </cell>
          <cell r="E51">
            <v>1.617939615260177</v>
          </cell>
          <cell r="F51">
            <v>10.333234937619677</v>
          </cell>
          <cell r="G51">
            <v>3.8067476333842212</v>
          </cell>
        </row>
        <row r="52">
          <cell r="A52" t="str">
            <v>14:Q3</v>
          </cell>
          <cell r="B52">
            <v>1.729162589501309</v>
          </cell>
          <cell r="C52">
            <v>3.8497269240496803</v>
          </cell>
          <cell r="D52">
            <v>1.9381225354078595</v>
          </cell>
          <cell r="E52">
            <v>1.5765156930887461</v>
          </cell>
          <cell r="F52">
            <v>10.242381923830097</v>
          </cell>
          <cell r="G52">
            <v>3.8481645882544742</v>
          </cell>
        </row>
        <row r="53">
          <cell r="A53" t="str">
            <v>14:Q4</v>
          </cell>
          <cell r="B53">
            <v>1.8789237083674057</v>
          </cell>
          <cell r="C53">
            <v>3.9197799035643293</v>
          </cell>
          <cell r="D53">
            <v>1.8112371144384489</v>
          </cell>
          <cell r="E53">
            <v>1.5113930708475316</v>
          </cell>
          <cell r="F53">
            <v>10.128662172538663</v>
          </cell>
          <cell r="G53">
            <v>3.8213064125663507</v>
          </cell>
        </row>
        <row r="54">
          <cell r="A54" t="str">
            <v>15:Q1</v>
          </cell>
          <cell r="B54">
            <v>1.9572264584170371</v>
          </cell>
          <cell r="C54">
            <v>3.7583352353339721</v>
          </cell>
          <cell r="D54">
            <v>1.7036553302901645</v>
          </cell>
          <cell r="E54">
            <v>1.2230610071772698</v>
          </cell>
          <cell r="F54">
            <v>10.115807259763253</v>
          </cell>
          <cell r="G54">
            <v>3.9612725575549979</v>
          </cell>
        </row>
        <row r="55">
          <cell r="A55" t="str">
            <v>15:Q2</v>
          </cell>
          <cell r="B55">
            <v>2.0025678547938179</v>
          </cell>
          <cell r="C55">
            <v>3.804532151106427</v>
          </cell>
          <cell r="D55">
            <v>1.6478824779071426</v>
          </cell>
          <cell r="E55">
            <v>1.193583275228693</v>
          </cell>
          <cell r="F55">
            <v>10.266673415927317</v>
          </cell>
          <cell r="G55">
            <v>4.0358351089450535</v>
          </cell>
        </row>
        <row r="56">
          <cell r="A56" t="str">
            <v>15:Q3</v>
          </cell>
          <cell r="B56">
            <v>2.036137408773925</v>
          </cell>
          <cell r="C56">
            <v>3.850217528178665</v>
          </cell>
          <cell r="D56">
            <v>1.6270971863354293</v>
          </cell>
          <cell r="E56">
            <v>0.98720128124570694</v>
          </cell>
          <cell r="F56">
            <v>10.182901644954194</v>
          </cell>
          <cell r="G56">
            <v>4.043820542804661</v>
          </cell>
        </row>
        <row r="57">
          <cell r="A57" t="str">
            <v>15:Q4</v>
          </cell>
          <cell r="B57">
            <v>2.0853179425630546</v>
          </cell>
          <cell r="C57">
            <v>3.7162253594459904</v>
          </cell>
          <cell r="D57">
            <v>1.5485499941815097</v>
          </cell>
          <cell r="E57">
            <v>0.96927992380538353</v>
          </cell>
          <cell r="F57">
            <v>10.039906222974999</v>
          </cell>
          <cell r="G57">
            <v>4.026192650956542</v>
          </cell>
        </row>
        <row r="58">
          <cell r="A58" t="str">
            <v>16:Q1</v>
          </cell>
          <cell r="B58">
            <v>2.1768624108835439</v>
          </cell>
          <cell r="C58">
            <v>3.6933168997384787</v>
          </cell>
          <cell r="D58">
            <v>1.4918732487096975</v>
          </cell>
          <cell r="E58">
            <v>0.93981181480056253</v>
          </cell>
          <cell r="F58">
            <v>9.7193223171850054</v>
          </cell>
          <cell r="G58">
            <v>4.0625096629749473</v>
          </cell>
        </row>
        <row r="59">
          <cell r="A59" t="str">
            <v>16:Q2</v>
          </cell>
          <cell r="B59">
            <v>2.1813444069308607</v>
          </cell>
          <cell r="C59">
            <v>3.5108722854875443</v>
          </cell>
          <cell r="D59">
            <v>1.4053373530126321</v>
          </cell>
          <cell r="E59">
            <v>0.95722311806240579</v>
          </cell>
          <cell r="F59">
            <v>9.4256492892530428</v>
          </cell>
          <cell r="G59">
            <v>4.0106110059018407</v>
          </cell>
        </row>
        <row r="60">
          <cell r="A60" t="str">
            <v>16:Q3</v>
          </cell>
          <cell r="B60">
            <v>2.2106884555757969</v>
          </cell>
          <cell r="C60">
            <v>3.5087164677876848</v>
          </cell>
          <cell r="D60">
            <v>1.2872027375767778</v>
          </cell>
          <cell r="E60">
            <v>1.0165396951372143</v>
          </cell>
          <cell r="F60">
            <v>9.5346175848660728</v>
          </cell>
          <cell r="G60">
            <v>4.1596539136054851</v>
          </cell>
        </row>
        <row r="61">
          <cell r="A61" t="str">
            <v>16:Q4</v>
          </cell>
          <cell r="B61">
            <v>2.2488776893428901</v>
          </cell>
          <cell r="C61">
            <v>3.707913499811256</v>
          </cell>
          <cell r="D61">
            <v>1.2867631932421941</v>
          </cell>
          <cell r="E61">
            <v>1.1261289523161264</v>
          </cell>
          <cell r="F61">
            <v>9.4209654211744454</v>
          </cell>
          <cell r="G61">
            <v>4.3981480595045888</v>
          </cell>
        </row>
        <row r="62">
          <cell r="A62" t="str">
            <v>17:Q1</v>
          </cell>
          <cell r="B62">
            <v>2.3013349932174147</v>
          </cell>
          <cell r="C62">
            <v>4.0765883166805894</v>
          </cell>
          <cell r="D62">
            <v>1.2418824026090487</v>
          </cell>
          <cell r="E62">
            <v>0.97368469480844444</v>
          </cell>
          <cell r="F62">
            <v>9.6377986097061576</v>
          </cell>
          <cell r="G62">
            <v>4.4618275917291825</v>
          </cell>
        </row>
        <row r="63">
          <cell r="A63" t="str">
            <v>17:Q2</v>
          </cell>
          <cell r="B63">
            <v>2.31</v>
          </cell>
          <cell r="C63">
            <v>4.42</v>
          </cell>
          <cell r="D63">
            <v>1.24</v>
          </cell>
          <cell r="E63">
            <v>0.87</v>
          </cell>
          <cell r="F63">
            <v>9.73</v>
          </cell>
          <cell r="G63">
            <v>4.6500000000000004</v>
          </cell>
        </row>
        <row r="64">
          <cell r="A64" t="str">
            <v>17:Q3</v>
          </cell>
          <cell r="B64">
            <v>2.36</v>
          </cell>
          <cell r="C64">
            <v>4.5999999999999996</v>
          </cell>
          <cell r="D64">
            <v>1.24</v>
          </cell>
          <cell r="E64">
            <v>0.92</v>
          </cell>
          <cell r="F64">
            <v>9.64</v>
          </cell>
          <cell r="G64">
            <v>4.66</v>
          </cell>
        </row>
        <row r="65">
          <cell r="A65" t="str">
            <v>17:Q4</v>
          </cell>
          <cell r="B65">
            <v>2.33</v>
          </cell>
          <cell r="C65">
            <v>4.6399999999999997</v>
          </cell>
          <cell r="D65">
            <v>1.1399999999999999</v>
          </cell>
          <cell r="E65">
            <v>0.9</v>
          </cell>
          <cell r="F65">
            <v>9.2899999618530273</v>
          </cell>
          <cell r="G65">
            <v>4.59</v>
          </cell>
        </row>
        <row r="66">
          <cell r="A66" t="str">
            <v>18:Q1</v>
          </cell>
          <cell r="B66">
            <v>2.29</v>
          </cell>
          <cell r="C66">
            <v>4.72</v>
          </cell>
          <cell r="D66">
            <v>1.1299999999999999</v>
          </cell>
          <cell r="E66">
            <v>0.99</v>
          </cell>
          <cell r="F66">
            <v>8.89</v>
          </cell>
          <cell r="G66">
            <v>4.63</v>
          </cell>
        </row>
        <row r="67">
          <cell r="A67" t="str">
            <v>18:Q2</v>
          </cell>
          <cell r="B67">
            <v>2.34</v>
          </cell>
          <cell r="C67">
            <v>4.76</v>
          </cell>
          <cell r="D67">
            <v>1.18</v>
          </cell>
          <cell r="E67">
            <v>1.1399999999999999</v>
          </cell>
          <cell r="F67">
            <v>8.59</v>
          </cell>
          <cell r="G67">
            <v>4.75</v>
          </cell>
        </row>
        <row r="68">
          <cell r="A68" t="str">
            <v>18:Q3</v>
          </cell>
          <cell r="B68">
            <v>2.2999999999999998</v>
          </cell>
          <cell r="C68">
            <v>4.8</v>
          </cell>
          <cell r="D68">
            <v>1.18</v>
          </cell>
          <cell r="E68">
            <v>0.99</v>
          </cell>
          <cell r="F68">
            <v>9.07</v>
          </cell>
          <cell r="G68">
            <v>4.88</v>
          </cell>
        </row>
        <row r="69">
          <cell r="A69" t="str">
            <v>18:Q4</v>
          </cell>
          <cell r="B69">
            <v>2.36</v>
          </cell>
          <cell r="C69">
            <v>4.99</v>
          </cell>
          <cell r="D69">
            <v>1.19</v>
          </cell>
          <cell r="E69">
            <v>0.81</v>
          </cell>
          <cell r="F69">
            <v>8.94</v>
          </cell>
          <cell r="G69">
            <v>4.8899999999999997</v>
          </cell>
        </row>
        <row r="70">
          <cell r="A70" t="str">
            <v>19:Q1</v>
          </cell>
          <cell r="B70">
            <v>2.36</v>
          </cell>
          <cell r="C70">
            <v>5.04</v>
          </cell>
          <cell r="D70">
            <v>1.1000000000000001</v>
          </cell>
          <cell r="E70">
            <v>0.85</v>
          </cell>
          <cell r="F70">
            <v>9.3800000000000008</v>
          </cell>
          <cell r="G70">
            <v>4.88</v>
          </cell>
        </row>
        <row r="71">
          <cell r="A71" t="str">
            <v>19:Q2</v>
          </cell>
          <cell r="B71">
            <v>2.34</v>
          </cell>
          <cell r="C71">
            <v>5.17</v>
          </cell>
          <cell r="D71">
            <v>1.04</v>
          </cell>
          <cell r="E71">
            <v>0.72</v>
          </cell>
          <cell r="F71">
            <v>9.89</v>
          </cell>
          <cell r="G71">
            <v>4.7699999999999996</v>
          </cell>
        </row>
        <row r="72">
          <cell r="A72" t="str">
            <v>19:Q3</v>
          </cell>
          <cell r="B72">
            <v>2.34</v>
          </cell>
          <cell r="C72">
            <v>5.16</v>
          </cell>
          <cell r="D72">
            <v>0.99</v>
          </cell>
          <cell r="E72">
            <v>0.83</v>
          </cell>
          <cell r="F72">
            <v>9.26</v>
          </cell>
          <cell r="G72">
            <v>4.67</v>
          </cell>
        </row>
        <row r="73">
          <cell r="A73" t="str">
            <v>19:Q4</v>
          </cell>
          <cell r="B73">
            <v>2.36</v>
          </cell>
          <cell r="C73">
            <v>5.32</v>
          </cell>
          <cell r="D73">
            <v>1.1000000000000001</v>
          </cell>
          <cell r="E73">
            <v>0.85</v>
          </cell>
          <cell r="F73">
            <v>9.2100000000000009</v>
          </cell>
          <cell r="G73">
            <v>4.7</v>
          </cell>
        </row>
        <row r="74">
          <cell r="A74" t="str">
            <v>20:Q1</v>
          </cell>
          <cell r="B74">
            <v>2.37</v>
          </cell>
          <cell r="C74">
            <v>5.31</v>
          </cell>
          <cell r="D74">
            <v>1.17</v>
          </cell>
          <cell r="E74">
            <v>0.77</v>
          </cell>
          <cell r="F74">
            <v>8.8699999999999992</v>
          </cell>
          <cell r="G74">
            <v>4.74</v>
          </cell>
        </row>
        <row r="75">
          <cell r="A75" t="str">
            <v>20:Q2</v>
          </cell>
          <cell r="B75">
            <v>2.2599999999999998</v>
          </cell>
          <cell r="C75">
            <v>5.05</v>
          </cell>
          <cell r="D75">
            <v>1.08</v>
          </cell>
          <cell r="E75">
            <v>0.78</v>
          </cell>
          <cell r="F75">
            <v>6.48</v>
          </cell>
          <cell r="G75">
            <v>4.59</v>
          </cell>
        </row>
        <row r="76">
          <cell r="A76" t="str">
            <v>20:Q3</v>
          </cell>
          <cell r="B76">
            <v>2.09</v>
          </cell>
          <cell r="C76">
            <v>4.7300000000000004</v>
          </cell>
          <cell r="D76">
            <v>0.96</v>
          </cell>
          <cell r="E76">
            <v>0.69</v>
          </cell>
          <cell r="F76">
            <v>4.3600000000000003</v>
          </cell>
          <cell r="G76">
            <v>4.1399999999999997</v>
          </cell>
        </row>
        <row r="77">
          <cell r="A77" t="str">
            <v>20:Q4</v>
          </cell>
          <cell r="B77">
            <v>1.84</v>
          </cell>
          <cell r="C77">
            <v>4.12</v>
          </cell>
          <cell r="D77">
            <v>0.65</v>
          </cell>
          <cell r="E77">
            <v>0.59</v>
          </cell>
          <cell r="F77">
            <v>2.76</v>
          </cell>
          <cell r="G77">
            <v>3.65</v>
          </cell>
        </row>
        <row r="78">
          <cell r="A78" t="str">
            <v>21:Q1</v>
          </cell>
          <cell r="B78">
            <v>1.72</v>
          </cell>
          <cell r="C78">
            <v>3.78</v>
          </cell>
          <cell r="D78">
            <v>0.42</v>
          </cell>
          <cell r="E78">
            <v>0.5</v>
          </cell>
          <cell r="F78">
            <v>1.02</v>
          </cell>
          <cell r="G78">
            <v>3.25</v>
          </cell>
        </row>
        <row r="79">
          <cell r="A79" t="str">
            <v>21:Q2</v>
          </cell>
          <cell r="B79">
            <v>1.61</v>
          </cell>
          <cell r="C79">
            <v>3.39</v>
          </cell>
          <cell r="D79">
            <v>0.33</v>
          </cell>
          <cell r="E79">
            <v>0.35</v>
          </cell>
          <cell r="F79">
            <v>1.02</v>
          </cell>
          <cell r="G79">
            <v>2.88</v>
          </cell>
        </row>
        <row r="80">
          <cell r="A80" t="str">
            <v>21:Q3</v>
          </cell>
          <cell r="B80">
            <v>1.57</v>
          </cell>
          <cell r="C80">
            <v>3.24</v>
          </cell>
          <cell r="D80">
            <v>0.27</v>
          </cell>
          <cell r="E80">
            <v>0.25</v>
          </cell>
          <cell r="F80">
            <v>1.08</v>
          </cell>
          <cell r="G80">
            <v>2.84</v>
          </cell>
        </row>
        <row r="81">
          <cell r="A81" t="str">
            <v>21:Q4</v>
          </cell>
          <cell r="B81">
            <v>1.56</v>
          </cell>
          <cell r="C81">
            <v>3.22</v>
          </cell>
          <cell r="D81">
            <v>0.28999999999999998</v>
          </cell>
          <cell r="E81">
            <v>0.26</v>
          </cell>
          <cell r="F81">
            <v>1.0900000000000001</v>
          </cell>
          <cell r="G81">
            <v>2.9</v>
          </cell>
        </row>
        <row r="82">
          <cell r="A82" t="str">
            <v>22:Q1</v>
          </cell>
          <cell r="B82">
            <v>1.61</v>
          </cell>
          <cell r="C82">
            <v>3.04</v>
          </cell>
          <cell r="D82">
            <v>0.34</v>
          </cell>
          <cell r="E82">
            <v>0.26</v>
          </cell>
          <cell r="F82">
            <v>1.05</v>
          </cell>
          <cell r="G82">
            <v>2.88</v>
          </cell>
        </row>
        <row r="83">
          <cell r="A83" t="str">
            <v>22:Q2</v>
          </cell>
          <cell r="B83">
            <v>1.81</v>
          </cell>
          <cell r="C83">
            <v>3.35</v>
          </cell>
          <cell r="D83">
            <v>0.44</v>
          </cell>
          <cell r="E83">
            <v>0.32</v>
          </cell>
          <cell r="F83">
            <v>0.98393562473819018</v>
          </cell>
          <cell r="G83">
            <v>3.21</v>
          </cell>
        </row>
        <row r="84">
          <cell r="A84" t="str">
            <v>22:Q3</v>
          </cell>
          <cell r="B84">
            <v>2.02</v>
          </cell>
          <cell r="C84">
            <v>3.69</v>
          </cell>
          <cell r="D84">
            <v>0.5</v>
          </cell>
          <cell r="E84">
            <v>0.51</v>
          </cell>
          <cell r="F84">
            <v>1.04</v>
          </cell>
          <cell r="G84">
            <v>3.55</v>
          </cell>
        </row>
        <row r="85">
          <cell r="A85" t="str">
            <v>22:Q4</v>
          </cell>
          <cell r="B85">
            <v>2.2200000000000002</v>
          </cell>
          <cell r="C85">
            <v>4.01</v>
          </cell>
          <cell r="D85">
            <v>0.56999999999999995</v>
          </cell>
          <cell r="E85">
            <v>0.51</v>
          </cell>
          <cell r="F85">
            <v>1.02</v>
          </cell>
          <cell r="G85">
            <v>3.96</v>
          </cell>
        </row>
        <row r="86">
          <cell r="A86" t="str">
            <v>23:Q1</v>
          </cell>
          <cell r="B86">
            <v>2.33</v>
          </cell>
          <cell r="C86">
            <v>4.57</v>
          </cell>
          <cell r="D86">
            <v>0.59</v>
          </cell>
          <cell r="E86">
            <v>0.48</v>
          </cell>
          <cell r="F86">
            <v>0.94</v>
          </cell>
          <cell r="G86">
            <v>4.3499999999999996</v>
          </cell>
        </row>
        <row r="87">
          <cell r="A87" t="str">
            <v>23:Q2</v>
          </cell>
          <cell r="B87">
            <v>2.41</v>
          </cell>
          <cell r="C87">
            <v>5.08</v>
          </cell>
          <cell r="D87">
            <v>0.63</v>
          </cell>
          <cell r="E87">
            <v>0.44</v>
          </cell>
          <cell r="F87">
            <v>0.85</v>
          </cell>
          <cell r="G87">
            <v>4.6500000000000004</v>
          </cell>
        </row>
        <row r="88">
          <cell r="A88" t="str">
            <v>23:Q3</v>
          </cell>
          <cell r="B88">
            <v>2.5299999999999998</v>
          </cell>
          <cell r="C88">
            <v>5.78</v>
          </cell>
          <cell r="D88">
            <v>0.72</v>
          </cell>
          <cell r="E88">
            <v>0.41</v>
          </cell>
          <cell r="F88">
            <v>0.77</v>
          </cell>
          <cell r="G88">
            <v>4.96</v>
          </cell>
        </row>
        <row r="89">
          <cell r="A89" t="str">
            <v>23:Q4</v>
          </cell>
          <cell r="B89">
            <v>2.66</v>
          </cell>
          <cell r="C89">
            <v>6.36</v>
          </cell>
          <cell r="D89">
            <v>0.82</v>
          </cell>
          <cell r="E89">
            <v>0.45</v>
          </cell>
          <cell r="F89">
            <v>0.79</v>
          </cell>
          <cell r="G89">
            <v>5.15</v>
          </cell>
        </row>
        <row r="90">
          <cell r="A90" t="str">
            <v>24:Q1</v>
          </cell>
          <cell r="B90">
            <v>2.78</v>
          </cell>
          <cell r="C90">
            <v>6.86</v>
          </cell>
          <cell r="D90">
            <v>0.92</v>
          </cell>
          <cell r="E90">
            <v>0.52</v>
          </cell>
          <cell r="F90">
            <v>0.8</v>
          </cell>
          <cell r="G90">
            <v>5.43</v>
          </cell>
        </row>
        <row r="91">
          <cell r="A91" t="str">
            <v>24:Q2</v>
          </cell>
          <cell r="B91">
            <v>2.88</v>
          </cell>
          <cell r="C91">
            <v>7.18</v>
          </cell>
          <cell r="D91">
            <v>0.95</v>
          </cell>
          <cell r="E91">
            <v>0.51</v>
          </cell>
          <cell r="F91">
            <v>0.8</v>
          </cell>
          <cell r="G91">
            <v>5.42</v>
          </cell>
        </row>
        <row r="92">
          <cell r="A92" t="str">
            <v>24:Q3</v>
          </cell>
          <cell r="B92">
            <v>2.8995743431135401</v>
          </cell>
          <cell r="C92">
            <v>7.0993405847757369</v>
          </cell>
          <cell r="D92">
            <v>1.0808969707780904</v>
          </cell>
          <cell r="E92">
            <v>0.42547565309768098</v>
          </cell>
          <cell r="F92">
            <v>0.77148331733432707</v>
          </cell>
          <cell r="G92">
            <v>5.5003537325284579</v>
          </cell>
        </row>
        <row r="93">
          <cell r="A93" t="str">
            <v>24:Q4</v>
          </cell>
          <cell r="B93">
            <v>2.96</v>
          </cell>
          <cell r="C93">
            <v>7.18</v>
          </cell>
          <cell r="D93">
            <v>1.0900000000000001</v>
          </cell>
          <cell r="E93">
            <v>0.56000000000000005</v>
          </cell>
          <cell r="F93">
            <v>0.7</v>
          </cell>
          <cell r="G93">
            <v>5.63</v>
          </cell>
        </row>
        <row r="94">
          <cell r="A94" t="str">
            <v>25:Q1</v>
          </cell>
          <cell r="B94">
            <v>2.94</v>
          </cell>
          <cell r="C94">
            <v>7.04</v>
          </cell>
          <cell r="D94">
            <v>1.22</v>
          </cell>
          <cell r="E94">
            <v>0.88</v>
          </cell>
          <cell r="F94">
            <v>8.0399999999999991</v>
          </cell>
          <cell r="G94">
            <v>5.44</v>
          </cell>
        </row>
        <row r="95">
          <cell r="A95" t="str">
            <v>25:Q2</v>
          </cell>
          <cell r="B95">
            <v>2.93</v>
          </cell>
          <cell r="C95">
            <v>6.93</v>
          </cell>
          <cell r="D95">
            <v>1.29</v>
          </cell>
          <cell r="E95">
            <v>1.1499999999999999</v>
          </cell>
          <cell r="F95">
            <v>12.88</v>
          </cell>
          <cell r="G95">
            <v>5.42</v>
          </cell>
        </row>
        <row r="96">
          <cell r="A96" t="str">
            <v>25:Q3</v>
          </cell>
          <cell r="B96">
            <v>2.99</v>
          </cell>
          <cell r="C96">
            <v>7.05</v>
          </cell>
          <cell r="D96">
            <v>1.28</v>
          </cell>
          <cell r="E96">
            <v>1.27</v>
          </cell>
          <cell r="F96">
            <v>14.26</v>
          </cell>
          <cell r="G96">
            <v>5.35</v>
          </cell>
        </row>
        <row r="97">
          <cell r="A97" t="str">
            <v>25:Q4</v>
          </cell>
          <cell r="B97">
            <v>2.951661558007868</v>
          </cell>
          <cell r="C97">
            <v>7.1293055486023897</v>
          </cell>
          <cell r="D97">
            <v>1.3843895821208627</v>
          </cell>
          <cell r="E97">
            <v>1.2399896557565249</v>
          </cell>
          <cell r="F97">
            <v>16.190010787911181</v>
          </cell>
          <cell r="G97">
            <v>5.1252240481402911</v>
          </cell>
        </row>
        <row r="98">
          <cell r="A98" t="str">
            <v>26:Q1</v>
          </cell>
          <cell r="B98">
            <v>2.97</v>
          </cell>
          <cell r="C98">
            <v>7.1</v>
          </cell>
          <cell r="D98">
            <v>1.48</v>
          </cell>
          <cell r="E98">
            <v>1.1499999999999999</v>
          </cell>
          <cell r="F98">
            <v>10.86</v>
          </cell>
          <cell r="G98">
            <v>5.16</v>
          </cell>
        </row>
      </sheetData>
      <sheetData sheetId="25" refreshError="1"/>
      <sheetData sheetId="26">
        <row r="1">
          <cell r="A1" t="str">
            <v xml:space="preserve">Quarterly Transition Rates for Current Mortgage Accounts </v>
          </cell>
        </row>
        <row r="2">
          <cell r="A2" t="str">
            <v>Percent</v>
          </cell>
        </row>
        <row r="3">
          <cell r="A3" t="str">
            <v>Return to Table of Contents</v>
          </cell>
        </row>
        <row r="4">
          <cell r="B4" t="str">
            <v>To 30-60 days late</v>
          </cell>
          <cell r="C4" t="str">
            <v>To 90+ days late</v>
          </cell>
        </row>
        <row r="5">
          <cell r="A5" t="str">
            <v>03:Q1</v>
          </cell>
          <cell r="B5">
            <v>1.55</v>
          </cell>
          <cell r="C5">
            <v>0.19</v>
          </cell>
        </row>
        <row r="6">
          <cell r="A6" t="str">
            <v>03:Q2</v>
          </cell>
          <cell r="B6">
            <v>1.42</v>
          </cell>
          <cell r="C6">
            <v>0.2</v>
          </cell>
        </row>
        <row r="7">
          <cell r="A7" t="str">
            <v>03:Q3</v>
          </cell>
          <cell r="B7">
            <v>1.33</v>
          </cell>
          <cell r="C7">
            <v>0.16</v>
          </cell>
        </row>
        <row r="8">
          <cell r="A8" t="str">
            <v>03:Q4</v>
          </cell>
          <cell r="B8">
            <v>1.34</v>
          </cell>
          <cell r="C8">
            <v>0.23</v>
          </cell>
        </row>
        <row r="9">
          <cell r="A9" t="str">
            <v>04:Q1</v>
          </cell>
          <cell r="B9">
            <v>1.32</v>
          </cell>
          <cell r="C9">
            <v>0.18</v>
          </cell>
        </row>
        <row r="10">
          <cell r="A10" t="str">
            <v>04:Q2</v>
          </cell>
          <cell r="B10">
            <v>1.34</v>
          </cell>
          <cell r="C10">
            <v>0.15</v>
          </cell>
        </row>
        <row r="11">
          <cell r="A11" t="str">
            <v>04:Q3</v>
          </cell>
          <cell r="B11">
            <v>1.35</v>
          </cell>
          <cell r="C11">
            <v>0.14000000000000001</v>
          </cell>
        </row>
        <row r="12">
          <cell r="A12" t="str">
            <v>04:Q4</v>
          </cell>
          <cell r="B12">
            <v>1.31</v>
          </cell>
          <cell r="C12">
            <v>0.2</v>
          </cell>
        </row>
        <row r="13">
          <cell r="A13" t="str">
            <v>05:Q1</v>
          </cell>
          <cell r="B13">
            <v>1.19</v>
          </cell>
          <cell r="C13">
            <v>0.1</v>
          </cell>
        </row>
        <row r="14">
          <cell r="A14" t="str">
            <v>05:Q2</v>
          </cell>
          <cell r="B14">
            <v>1.22</v>
          </cell>
          <cell r="C14">
            <v>0.18</v>
          </cell>
        </row>
        <row r="15">
          <cell r="A15" t="str">
            <v>05:Q3</v>
          </cell>
          <cell r="B15">
            <v>1.36</v>
          </cell>
          <cell r="C15">
            <v>0.15</v>
          </cell>
        </row>
        <row r="16">
          <cell r="A16" t="str">
            <v>05:Q4</v>
          </cell>
          <cell r="B16">
            <v>1.32</v>
          </cell>
          <cell r="C16">
            <v>0.22</v>
          </cell>
        </row>
        <row r="17">
          <cell r="A17" t="str">
            <v>06:Q1</v>
          </cell>
          <cell r="B17">
            <v>1.23</v>
          </cell>
          <cell r="C17">
            <v>0.13</v>
          </cell>
        </row>
        <row r="18">
          <cell r="A18" t="str">
            <v>06:Q2</v>
          </cell>
          <cell r="B18">
            <v>1.44</v>
          </cell>
          <cell r="C18">
            <v>0.09</v>
          </cell>
        </row>
        <row r="19">
          <cell r="A19" t="str">
            <v>06:Q3</v>
          </cell>
          <cell r="B19">
            <v>1.48</v>
          </cell>
          <cell r="C19">
            <v>0.18</v>
          </cell>
        </row>
        <row r="20">
          <cell r="A20" t="str">
            <v>06:Q4</v>
          </cell>
          <cell r="B20">
            <v>1.73</v>
          </cell>
          <cell r="C20">
            <v>0.17</v>
          </cell>
        </row>
        <row r="21">
          <cell r="A21" t="str">
            <v>07:Q1</v>
          </cell>
          <cell r="B21">
            <v>1.64</v>
          </cell>
          <cell r="C21">
            <v>0.24</v>
          </cell>
        </row>
        <row r="22">
          <cell r="A22" t="str">
            <v>07:Q2</v>
          </cell>
          <cell r="B22">
            <v>1.74</v>
          </cell>
          <cell r="C22">
            <v>0.22</v>
          </cell>
        </row>
        <row r="23">
          <cell r="A23" t="str">
            <v>07:Q3</v>
          </cell>
          <cell r="B23">
            <v>1.91</v>
          </cell>
          <cell r="C23">
            <v>0.35</v>
          </cell>
        </row>
        <row r="24">
          <cell r="A24" t="str">
            <v>07:Q4</v>
          </cell>
          <cell r="B24">
            <v>2.27</v>
          </cell>
          <cell r="C24">
            <v>0.43</v>
          </cell>
        </row>
        <row r="25">
          <cell r="A25" t="str">
            <v>08:Q1</v>
          </cell>
          <cell r="B25">
            <v>2.0099999999999998</v>
          </cell>
          <cell r="C25">
            <v>0.53</v>
          </cell>
        </row>
        <row r="26">
          <cell r="A26" t="str">
            <v>08:Q2</v>
          </cell>
          <cell r="B26">
            <v>2.2400000000000002</v>
          </cell>
          <cell r="C26">
            <v>0.52</v>
          </cell>
        </row>
        <row r="27">
          <cell r="A27" t="str">
            <v>08:Q3</v>
          </cell>
          <cell r="B27">
            <v>2.5499999999999998</v>
          </cell>
          <cell r="C27">
            <v>0.55000000000000004</v>
          </cell>
        </row>
        <row r="28">
          <cell r="A28" t="str">
            <v>08:Q4</v>
          </cell>
          <cell r="B28">
            <v>3.05</v>
          </cell>
          <cell r="C28">
            <v>0.66</v>
          </cell>
        </row>
        <row r="29">
          <cell r="A29" t="str">
            <v>09:Q1</v>
          </cell>
          <cell r="B29">
            <v>2.77</v>
          </cell>
          <cell r="C29">
            <v>0.66</v>
          </cell>
        </row>
        <row r="30">
          <cell r="A30" t="str">
            <v>09:Q2</v>
          </cell>
          <cell r="B30">
            <v>2.5</v>
          </cell>
          <cell r="C30">
            <v>0.75</v>
          </cell>
        </row>
        <row r="31">
          <cell r="A31" t="str">
            <v>09:Q3</v>
          </cell>
          <cell r="B31">
            <v>2.74</v>
          </cell>
          <cell r="C31">
            <v>0.53</v>
          </cell>
        </row>
        <row r="32">
          <cell r="A32" t="str">
            <v>09:Q4</v>
          </cell>
          <cell r="B32">
            <v>2.42</v>
          </cell>
          <cell r="C32">
            <v>0.74</v>
          </cell>
        </row>
        <row r="33">
          <cell r="A33" t="str">
            <v>10:Q1</v>
          </cell>
          <cell r="B33">
            <v>2.2799999999999998</v>
          </cell>
          <cell r="C33">
            <v>0.63</v>
          </cell>
        </row>
        <row r="34">
          <cell r="A34" t="str">
            <v>10:Q2</v>
          </cell>
          <cell r="B34">
            <v>2.04</v>
          </cell>
          <cell r="C34">
            <v>0.53</v>
          </cell>
        </row>
        <row r="35">
          <cell r="A35" t="str">
            <v>10:Q3</v>
          </cell>
          <cell r="B35">
            <v>2.12</v>
          </cell>
          <cell r="C35">
            <v>0.59</v>
          </cell>
        </row>
        <row r="36">
          <cell r="A36" t="str">
            <v>10:Q4</v>
          </cell>
          <cell r="B36">
            <v>1.9</v>
          </cell>
          <cell r="C36">
            <v>0.52</v>
          </cell>
        </row>
        <row r="37">
          <cell r="A37" t="str">
            <v>11:Q1</v>
          </cell>
          <cell r="B37">
            <v>1.84</v>
          </cell>
          <cell r="C37">
            <v>0.54</v>
          </cell>
        </row>
        <row r="38">
          <cell r="A38" t="str">
            <v>11:Q2</v>
          </cell>
          <cell r="B38">
            <v>1.6703053896940843</v>
          </cell>
          <cell r="C38">
            <v>0.47873319830602101</v>
          </cell>
        </row>
        <row r="39">
          <cell r="A39" t="str">
            <v>11:Q3</v>
          </cell>
          <cell r="B39">
            <v>2.1193092621664049</v>
          </cell>
          <cell r="C39">
            <v>0.41862899005756149</v>
          </cell>
        </row>
        <row r="40">
          <cell r="A40" t="str">
            <v>11:Q4</v>
          </cell>
          <cell r="B40">
            <v>1.72</v>
          </cell>
          <cell r="C40">
            <v>0.48</v>
          </cell>
        </row>
        <row r="41">
          <cell r="A41" t="str">
            <v>12:Q1</v>
          </cell>
          <cell r="B41">
            <v>1.4</v>
          </cell>
          <cell r="C41">
            <v>0.43</v>
          </cell>
        </row>
        <row r="42">
          <cell r="A42" t="str">
            <v>12:Q2</v>
          </cell>
          <cell r="B42">
            <v>1.46</v>
          </cell>
          <cell r="C42">
            <v>0.36</v>
          </cell>
        </row>
        <row r="43">
          <cell r="A43" t="str">
            <v>12:Q3</v>
          </cell>
          <cell r="B43">
            <v>1.52</v>
          </cell>
          <cell r="C43">
            <v>0.35</v>
          </cell>
        </row>
        <row r="44">
          <cell r="A44" t="str">
            <v>12:Q4</v>
          </cell>
          <cell r="B44">
            <v>1.42</v>
          </cell>
          <cell r="C44">
            <v>0.38</v>
          </cell>
        </row>
        <row r="45">
          <cell r="A45" t="str">
            <v>13:Q1</v>
          </cell>
          <cell r="B45">
            <v>1.28</v>
          </cell>
          <cell r="C45">
            <v>0.28999999999999998</v>
          </cell>
        </row>
        <row r="46">
          <cell r="A46" t="str">
            <v>13:Q2</v>
          </cell>
          <cell r="B46">
            <v>1.17</v>
          </cell>
          <cell r="C46">
            <v>0.35</v>
          </cell>
        </row>
        <row r="47">
          <cell r="A47" t="str">
            <v>13:Q3</v>
          </cell>
          <cell r="B47">
            <v>1.35</v>
          </cell>
          <cell r="C47">
            <v>0.22</v>
          </cell>
        </row>
        <row r="48">
          <cell r="A48" t="str">
            <v>13:Q4</v>
          </cell>
          <cell r="B48">
            <v>1.25</v>
          </cell>
          <cell r="C48">
            <v>0.23</v>
          </cell>
        </row>
        <row r="49">
          <cell r="A49" t="str">
            <v>14:Q1</v>
          </cell>
          <cell r="B49">
            <v>0.97</v>
          </cell>
          <cell r="C49">
            <v>0.23</v>
          </cell>
        </row>
        <row r="50">
          <cell r="A50" t="str">
            <v>14:Q2</v>
          </cell>
          <cell r="B50">
            <v>0.95</v>
          </cell>
          <cell r="C50">
            <v>0.22</v>
          </cell>
        </row>
        <row r="51">
          <cell r="A51" t="str">
            <v>14:Q3</v>
          </cell>
          <cell r="B51">
            <v>1.1499999999999999</v>
          </cell>
          <cell r="C51">
            <v>0.21</v>
          </cell>
        </row>
        <row r="52">
          <cell r="A52" t="str">
            <v>14:Q4</v>
          </cell>
          <cell r="B52">
            <v>0.95</v>
          </cell>
          <cell r="C52">
            <v>0.22</v>
          </cell>
        </row>
        <row r="53">
          <cell r="A53" t="str">
            <v>15:Q1</v>
          </cell>
          <cell r="B53">
            <v>0.85</v>
          </cell>
          <cell r="C53">
            <v>0.13</v>
          </cell>
        </row>
        <row r="54">
          <cell r="A54" t="str">
            <v>15:Q2</v>
          </cell>
          <cell r="B54">
            <v>1.01</v>
          </cell>
          <cell r="C54">
            <v>0.19</v>
          </cell>
        </row>
        <row r="55">
          <cell r="A55" t="str">
            <v>15:Q3</v>
          </cell>
          <cell r="B55">
            <v>1</v>
          </cell>
          <cell r="C55">
            <v>0.18</v>
          </cell>
        </row>
        <row r="56">
          <cell r="A56" t="str">
            <v>15:Q4</v>
          </cell>
          <cell r="B56">
            <v>0.91</v>
          </cell>
          <cell r="C56">
            <v>0.19</v>
          </cell>
        </row>
        <row r="57">
          <cell r="A57" t="str">
            <v>16:Q1</v>
          </cell>
          <cell r="B57">
            <v>0.71</v>
          </cell>
          <cell r="C57">
            <v>0.18</v>
          </cell>
        </row>
        <row r="58">
          <cell r="A58" t="str">
            <v>16:Q2</v>
          </cell>
          <cell r="B58">
            <v>0.78</v>
          </cell>
          <cell r="C58">
            <v>0.12</v>
          </cell>
        </row>
        <row r="59">
          <cell r="A59" t="str">
            <v>16:Q3</v>
          </cell>
          <cell r="B59">
            <v>1.02</v>
          </cell>
          <cell r="C59">
            <v>0.16</v>
          </cell>
        </row>
        <row r="60">
          <cell r="A60" t="str">
            <v>16:Q4</v>
          </cell>
          <cell r="B60">
            <v>0.86</v>
          </cell>
          <cell r="C60">
            <v>0.16</v>
          </cell>
        </row>
        <row r="61">
          <cell r="A61" t="str">
            <v>17:Q1</v>
          </cell>
          <cell r="B61">
            <v>0.83900392673349411</v>
          </cell>
          <cell r="C61">
            <v>0.13902099948781699</v>
          </cell>
        </row>
        <row r="62">
          <cell r="A62" t="str">
            <v>17:Q2</v>
          </cell>
          <cell r="B62">
            <v>0.8271496901185581</v>
          </cell>
          <cell r="C62">
            <v>0.1546410290221652</v>
          </cell>
        </row>
        <row r="63">
          <cell r="A63" t="str">
            <v>17:Q3</v>
          </cell>
          <cell r="B63">
            <v>0.92</v>
          </cell>
          <cell r="C63">
            <v>0.11</v>
          </cell>
        </row>
        <row r="64">
          <cell r="A64" t="str">
            <v>17:Q4</v>
          </cell>
          <cell r="B64">
            <v>0.81</v>
          </cell>
          <cell r="C64">
            <v>0.11</v>
          </cell>
        </row>
        <row r="65">
          <cell r="A65" t="str">
            <v>18:Q1</v>
          </cell>
          <cell r="B65">
            <v>0.80668766318155749</v>
          </cell>
          <cell r="C65">
            <v>0.14283874442402031</v>
          </cell>
        </row>
        <row r="66">
          <cell r="A66" t="str">
            <v>18:Q2</v>
          </cell>
          <cell r="B66">
            <v>0.8241062590640178</v>
          </cell>
          <cell r="C66">
            <v>0.19106374162657397</v>
          </cell>
        </row>
        <row r="67">
          <cell r="A67" t="str">
            <v>18:Q3</v>
          </cell>
          <cell r="B67">
            <v>1.010687335677946</v>
          </cell>
          <cell r="C67">
            <v>0.19690192463095116</v>
          </cell>
        </row>
        <row r="68">
          <cell r="A68" t="str">
            <v>18:Q4</v>
          </cell>
          <cell r="B68">
            <v>0.8274097885634083</v>
          </cell>
          <cell r="C68">
            <v>0.13243084167157151</v>
          </cell>
        </row>
        <row r="69">
          <cell r="A69" t="str">
            <v>19:Q1</v>
          </cell>
          <cell r="B69">
            <v>0.79434533826994269</v>
          </cell>
          <cell r="C69">
            <v>0.13687871648154382</v>
          </cell>
        </row>
        <row r="70">
          <cell r="A70" t="str">
            <v>19:Q2</v>
          </cell>
          <cell r="B70">
            <v>0.78324064431790497</v>
          </cell>
          <cell r="C70">
            <v>0.17614605720869431</v>
          </cell>
        </row>
        <row r="71">
          <cell r="A71" t="str">
            <v>19:Q3</v>
          </cell>
          <cell r="B71">
            <v>1.0178700006545787</v>
          </cell>
          <cell r="C71">
            <v>0.14073443738953983</v>
          </cell>
        </row>
        <row r="72">
          <cell r="A72" t="str">
            <v>19:Q4</v>
          </cell>
          <cell r="B72">
            <v>0.87583888943628807</v>
          </cell>
          <cell r="C72">
            <v>0.1543666042631458</v>
          </cell>
        </row>
        <row r="73">
          <cell r="A73" t="str">
            <v>20:Q1</v>
          </cell>
          <cell r="B73">
            <v>0.75906421447053396</v>
          </cell>
          <cell r="C73">
            <v>0.14386789920657927</v>
          </cell>
        </row>
        <row r="74">
          <cell r="A74" t="str">
            <v>20:Q2</v>
          </cell>
          <cell r="B74">
            <v>0.42915195316993093</v>
          </cell>
          <cell r="C74">
            <v>0.10484116680421469</v>
          </cell>
        </row>
        <row r="75">
          <cell r="A75" t="str">
            <v>20:Q3</v>
          </cell>
          <cell r="B75">
            <v>0.46941500458983554</v>
          </cell>
          <cell r="C75">
            <v>0.11891846782942503</v>
          </cell>
        </row>
        <row r="76">
          <cell r="A76" t="str">
            <v>20:Q4</v>
          </cell>
          <cell r="B76">
            <v>0.34795499233057786</v>
          </cell>
          <cell r="C76">
            <v>0.10397471664316082</v>
          </cell>
        </row>
        <row r="77">
          <cell r="A77" t="str">
            <v>21:Q1</v>
          </cell>
          <cell r="B77">
            <v>0.38950554994954589</v>
          </cell>
          <cell r="C77">
            <v>0.11503531786074672</v>
          </cell>
        </row>
        <row r="78">
          <cell r="A78" t="str">
            <v>21:Q2</v>
          </cell>
          <cell r="B78">
            <v>0.26906217686763001</v>
          </cell>
          <cell r="C78">
            <v>7.8279724010173607E-2</v>
          </cell>
        </row>
        <row r="79">
          <cell r="A79" t="str">
            <v>21:Q3</v>
          </cell>
          <cell r="B79">
            <v>0.41</v>
          </cell>
          <cell r="C79">
            <v>0.12</v>
          </cell>
        </row>
        <row r="80">
          <cell r="A80" t="str">
            <v>21:Q4</v>
          </cell>
          <cell r="B80">
            <v>0.47913490583010598</v>
          </cell>
          <cell r="C80">
            <v>9.5637599780317592E-2</v>
          </cell>
        </row>
        <row r="81">
          <cell r="A81" t="str">
            <v>22:Q1</v>
          </cell>
          <cell r="B81">
            <v>0.45</v>
          </cell>
          <cell r="C81">
            <v>0.12</v>
          </cell>
        </row>
        <row r="82">
          <cell r="A82" t="str">
            <v>22:Q2</v>
          </cell>
          <cell r="B82">
            <v>0.49</v>
          </cell>
          <cell r="C82">
            <v>0.12</v>
          </cell>
        </row>
        <row r="83">
          <cell r="A83" t="str">
            <v>22:Q3</v>
          </cell>
          <cell r="B83">
            <v>0.57999999999999996</v>
          </cell>
          <cell r="C83">
            <v>0.11</v>
          </cell>
        </row>
        <row r="84">
          <cell r="A84" t="str">
            <v>22:Q4</v>
          </cell>
          <cell r="B84">
            <v>0.62</v>
          </cell>
          <cell r="C84">
            <v>0.12</v>
          </cell>
        </row>
        <row r="85">
          <cell r="A85" t="str">
            <v>23:Q1</v>
          </cell>
          <cell r="B85">
            <v>0.61</v>
          </cell>
          <cell r="C85">
            <v>8.9962402505368036E-2</v>
          </cell>
        </row>
        <row r="86">
          <cell r="A86" t="str">
            <v>23:Q2</v>
          </cell>
          <cell r="B86">
            <v>0.62</v>
          </cell>
          <cell r="C86">
            <v>0.12</v>
          </cell>
        </row>
        <row r="87">
          <cell r="A87" t="str">
            <v>23:Q3</v>
          </cell>
          <cell r="B87">
            <v>0.77</v>
          </cell>
          <cell r="C87">
            <v>0.13</v>
          </cell>
        </row>
        <row r="88">
          <cell r="A88" t="str">
            <v>23:Q4</v>
          </cell>
          <cell r="B88">
            <v>0.81</v>
          </cell>
          <cell r="C88">
            <v>0.16</v>
          </cell>
        </row>
        <row r="89">
          <cell r="A89" t="str">
            <v>24:Q1</v>
          </cell>
          <cell r="B89">
            <v>0.83</v>
          </cell>
          <cell r="C89">
            <v>0.17</v>
          </cell>
        </row>
        <row r="90">
          <cell r="A90" t="str">
            <v>24:Q2</v>
          </cell>
          <cell r="B90">
            <v>0.76</v>
          </cell>
          <cell r="C90">
            <v>0.12</v>
          </cell>
        </row>
        <row r="91">
          <cell r="A91" t="str">
            <v>24:Q3</v>
          </cell>
          <cell r="B91">
            <v>0.97883156433426666</v>
          </cell>
          <cell r="C91">
            <v>0.18372200854156684</v>
          </cell>
        </row>
        <row r="92">
          <cell r="A92" t="str">
            <v>24:Q4</v>
          </cell>
          <cell r="B92">
            <v>0.83602548134308996</v>
          </cell>
          <cell r="C92">
            <v>0.15455524417458094</v>
          </cell>
        </row>
        <row r="93">
          <cell r="A93" t="str">
            <v>25:Q1</v>
          </cell>
          <cell r="B93">
            <v>0.89017460616085498</v>
          </cell>
          <cell r="C93">
            <v>0.23773281568010399</v>
          </cell>
        </row>
        <row r="94">
          <cell r="A94" t="str">
            <v>25:Q2</v>
          </cell>
          <cell r="B94">
            <v>0.69111528289033941</v>
          </cell>
          <cell r="C94">
            <v>0.16694223862506116</v>
          </cell>
        </row>
        <row r="95">
          <cell r="A95" t="str">
            <v>25:Q3</v>
          </cell>
          <cell r="B95">
            <v>0.9365060013964468</v>
          </cell>
          <cell r="C95">
            <v>0.18809283679779862</v>
          </cell>
        </row>
        <row r="96">
          <cell r="A96" t="str">
            <v>25:Q4</v>
          </cell>
          <cell r="B96">
            <v>0.99826286540744058</v>
          </cell>
          <cell r="C96">
            <v>0.19729447182462015</v>
          </cell>
        </row>
        <row r="97">
          <cell r="A97" t="str">
            <v>26:Q1</v>
          </cell>
          <cell r="B97">
            <v>0.74</v>
          </cell>
          <cell r="C97">
            <v>0.26</v>
          </cell>
        </row>
      </sheetData>
      <sheetData sheetId="27" refreshError="1"/>
      <sheetData sheetId="28">
        <row r="1">
          <cell r="A1" t="str">
            <v xml:space="preserve">Quarterly Transition Rates for 30-60 Day Late Mortgage Accounts </v>
          </cell>
        </row>
        <row r="2">
          <cell r="A2" t="str">
            <v>Percent</v>
          </cell>
        </row>
        <row r="3">
          <cell r="A3" t="str">
            <v>Return to Table of Contents</v>
          </cell>
        </row>
        <row r="4">
          <cell r="A4" t="str">
            <v>quarter</v>
          </cell>
          <cell r="B4" t="str">
            <v>To current</v>
          </cell>
          <cell r="C4" t="str">
            <v>To 90+ days late</v>
          </cell>
        </row>
        <row r="5">
          <cell r="A5" t="str">
            <v>03:Q1</v>
          </cell>
          <cell r="B5">
            <v>41.28</v>
          </cell>
          <cell r="C5">
            <v>12.28</v>
          </cell>
        </row>
        <row r="6">
          <cell r="A6" t="str">
            <v>03:Q2</v>
          </cell>
          <cell r="B6">
            <v>50</v>
          </cell>
          <cell r="C6">
            <v>11.12</v>
          </cell>
        </row>
        <row r="7">
          <cell r="A7" t="str">
            <v>03:Q3</v>
          </cell>
          <cell r="B7">
            <v>46.52</v>
          </cell>
          <cell r="C7">
            <v>12</v>
          </cell>
        </row>
        <row r="8">
          <cell r="A8" t="str">
            <v>03:Q4</v>
          </cell>
          <cell r="B8">
            <v>43.2</v>
          </cell>
          <cell r="C8">
            <v>14.97</v>
          </cell>
        </row>
        <row r="9">
          <cell r="A9" t="str">
            <v>04:Q1</v>
          </cell>
          <cell r="B9">
            <v>48.09</v>
          </cell>
          <cell r="C9">
            <v>12.93</v>
          </cell>
        </row>
        <row r="10">
          <cell r="A10" t="str">
            <v>04:Q2</v>
          </cell>
          <cell r="B10">
            <v>47.88</v>
          </cell>
          <cell r="C10">
            <v>11.16</v>
          </cell>
        </row>
        <row r="11">
          <cell r="A11" t="str">
            <v>04:Q3</v>
          </cell>
          <cell r="B11">
            <v>40.369999999999997</v>
          </cell>
          <cell r="C11">
            <v>16.55</v>
          </cell>
        </row>
        <row r="12">
          <cell r="A12" t="str">
            <v>04:Q4</v>
          </cell>
          <cell r="B12">
            <v>41.41</v>
          </cell>
          <cell r="C12">
            <v>16.329999999999998</v>
          </cell>
        </row>
        <row r="13">
          <cell r="A13" t="str">
            <v>05:Q1</v>
          </cell>
          <cell r="B13">
            <v>43.14</v>
          </cell>
          <cell r="C13">
            <v>13.34</v>
          </cell>
        </row>
        <row r="14">
          <cell r="A14" t="str">
            <v>05:Q2</v>
          </cell>
          <cell r="B14">
            <v>50.12</v>
          </cell>
          <cell r="C14">
            <v>10.44</v>
          </cell>
        </row>
        <row r="15">
          <cell r="A15" t="str">
            <v>05:Q3</v>
          </cell>
          <cell r="B15">
            <v>39.64</v>
          </cell>
          <cell r="C15">
            <v>15.73</v>
          </cell>
        </row>
        <row r="16">
          <cell r="A16" t="str">
            <v>05:Q4</v>
          </cell>
          <cell r="B16">
            <v>43.3</v>
          </cell>
          <cell r="C16">
            <v>14.56</v>
          </cell>
        </row>
        <row r="17">
          <cell r="A17" t="str">
            <v>06:Q1</v>
          </cell>
          <cell r="B17">
            <v>47.24</v>
          </cell>
          <cell r="C17">
            <v>13.72</v>
          </cell>
        </row>
        <row r="18">
          <cell r="A18" t="str">
            <v>06:Q2</v>
          </cell>
          <cell r="B18">
            <v>45.9</v>
          </cell>
          <cell r="C18">
            <v>11.97</v>
          </cell>
        </row>
        <row r="19">
          <cell r="A19" t="str">
            <v>06:Q3</v>
          </cell>
          <cell r="B19">
            <v>37.020000000000003</v>
          </cell>
          <cell r="C19">
            <v>17.190000000000001</v>
          </cell>
        </row>
        <row r="20">
          <cell r="A20" t="str">
            <v>06:Q4</v>
          </cell>
          <cell r="B20">
            <v>36.869999999999997</v>
          </cell>
          <cell r="C20">
            <v>19.670000000000002</v>
          </cell>
        </row>
        <row r="21">
          <cell r="A21" t="str">
            <v>07:Q1</v>
          </cell>
          <cell r="B21">
            <v>39.880000000000003</v>
          </cell>
          <cell r="C21">
            <v>19.940000000000001</v>
          </cell>
        </row>
        <row r="22">
          <cell r="A22" t="str">
            <v>07:Q2</v>
          </cell>
          <cell r="B22">
            <v>36.729999999999997</v>
          </cell>
          <cell r="C22">
            <v>22.27</v>
          </cell>
        </row>
        <row r="23">
          <cell r="A23" t="str">
            <v>07:Q3</v>
          </cell>
          <cell r="B23">
            <v>31.12</v>
          </cell>
          <cell r="C23">
            <v>27.11</v>
          </cell>
        </row>
        <row r="24">
          <cell r="A24" t="str">
            <v>07:Q4</v>
          </cell>
          <cell r="B24">
            <v>25.4</v>
          </cell>
          <cell r="C24">
            <v>34.19</v>
          </cell>
        </row>
        <row r="25">
          <cell r="A25" t="str">
            <v>08:Q1</v>
          </cell>
          <cell r="B25">
            <v>26.85</v>
          </cell>
          <cell r="C25">
            <v>34.6</v>
          </cell>
        </row>
        <row r="26">
          <cell r="A26" t="str">
            <v>08:Q2</v>
          </cell>
          <cell r="B26">
            <v>29.33</v>
          </cell>
          <cell r="C26">
            <v>31.33</v>
          </cell>
        </row>
        <row r="27">
          <cell r="A27" t="str">
            <v>08:Q3</v>
          </cell>
          <cell r="B27">
            <v>22.27</v>
          </cell>
          <cell r="C27">
            <v>40.130000000000003</v>
          </cell>
        </row>
        <row r="28">
          <cell r="A28" t="str">
            <v>08:Q4</v>
          </cell>
          <cell r="B28">
            <v>21.21</v>
          </cell>
          <cell r="C28">
            <v>40.85</v>
          </cell>
        </row>
        <row r="29">
          <cell r="A29" t="str">
            <v>09:Q1</v>
          </cell>
          <cell r="B29">
            <v>22.84</v>
          </cell>
          <cell r="C29">
            <v>44.23</v>
          </cell>
        </row>
        <row r="30">
          <cell r="A30" t="str">
            <v>09:Q2</v>
          </cell>
          <cell r="B30">
            <v>25.73</v>
          </cell>
          <cell r="C30">
            <v>41.17</v>
          </cell>
        </row>
        <row r="31">
          <cell r="A31" t="str">
            <v>09:Q3</v>
          </cell>
          <cell r="B31">
            <v>20.47</v>
          </cell>
          <cell r="C31">
            <v>41.43</v>
          </cell>
        </row>
        <row r="32">
          <cell r="A32" t="str">
            <v>09:Q4</v>
          </cell>
          <cell r="B32">
            <v>20.91</v>
          </cell>
          <cell r="C32">
            <v>41.29</v>
          </cell>
        </row>
        <row r="33">
          <cell r="A33" t="str">
            <v>10:Q1</v>
          </cell>
          <cell r="B33">
            <v>24.13</v>
          </cell>
          <cell r="C33">
            <v>39.020000000000003</v>
          </cell>
        </row>
        <row r="34">
          <cell r="A34" t="str">
            <v>10:Q2</v>
          </cell>
          <cell r="B34">
            <v>29</v>
          </cell>
          <cell r="C34">
            <v>32.97</v>
          </cell>
        </row>
        <row r="35">
          <cell r="A35" t="str">
            <v>10:Q3</v>
          </cell>
          <cell r="B35">
            <v>25.15</v>
          </cell>
          <cell r="C35">
            <v>31.85</v>
          </cell>
        </row>
        <row r="36">
          <cell r="A36" t="str">
            <v>10:Q4</v>
          </cell>
          <cell r="B36">
            <v>28.66</v>
          </cell>
          <cell r="C36">
            <v>29.63</v>
          </cell>
        </row>
        <row r="37">
          <cell r="A37" t="str">
            <v>11:Q1</v>
          </cell>
          <cell r="B37">
            <v>30.98</v>
          </cell>
          <cell r="C37">
            <v>27.56</v>
          </cell>
        </row>
        <row r="38">
          <cell r="A38" t="str">
            <v>11:Q2</v>
          </cell>
          <cell r="B38">
            <v>29.94</v>
          </cell>
          <cell r="C38">
            <v>28.17</v>
          </cell>
        </row>
        <row r="39">
          <cell r="A39" t="str">
            <v>11:Q3</v>
          </cell>
          <cell r="B39">
            <v>25.620170801138677</v>
          </cell>
          <cell r="C39">
            <v>31.272875152501019</v>
          </cell>
        </row>
        <row r="40">
          <cell r="A40" t="str">
            <v>11:Q4</v>
          </cell>
          <cell r="B40">
            <v>27.24</v>
          </cell>
          <cell r="C40">
            <v>28.82</v>
          </cell>
        </row>
        <row r="41">
          <cell r="A41" t="str">
            <v>12:Q1</v>
          </cell>
          <cell r="B41">
            <v>31.77</v>
          </cell>
          <cell r="C41">
            <v>27.72</v>
          </cell>
        </row>
        <row r="42">
          <cell r="A42" t="str">
            <v>12:Q2</v>
          </cell>
          <cell r="B42">
            <v>28.45</v>
          </cell>
          <cell r="C42">
            <v>23.51</v>
          </cell>
        </row>
        <row r="43">
          <cell r="A43" t="str">
            <v>12:Q3</v>
          </cell>
          <cell r="B43">
            <v>26.35</v>
          </cell>
          <cell r="C43">
            <v>26.3</v>
          </cell>
        </row>
        <row r="44">
          <cell r="A44" t="str">
            <v>12:Q4</v>
          </cell>
          <cell r="B44">
            <v>28.05</v>
          </cell>
          <cell r="C44">
            <v>26.09</v>
          </cell>
        </row>
        <row r="45">
          <cell r="A45" t="str">
            <v>13:Q1</v>
          </cell>
          <cell r="B45">
            <v>34.700000000000003</v>
          </cell>
          <cell r="C45">
            <v>22.8</v>
          </cell>
        </row>
        <row r="46">
          <cell r="A46" t="str">
            <v>13:Q2</v>
          </cell>
          <cell r="B46">
            <v>35.799999999999997</v>
          </cell>
          <cell r="C46">
            <v>19.8</v>
          </cell>
        </row>
        <row r="47">
          <cell r="A47" t="str">
            <v>13:Q3</v>
          </cell>
          <cell r="B47">
            <v>25.7</v>
          </cell>
          <cell r="C47">
            <v>22.7</v>
          </cell>
        </row>
        <row r="48">
          <cell r="A48" t="str">
            <v>13:Q4</v>
          </cell>
          <cell r="B48">
            <v>26.9</v>
          </cell>
          <cell r="C48">
            <v>20.9</v>
          </cell>
        </row>
        <row r="49">
          <cell r="A49" t="str">
            <v>14:Q1</v>
          </cell>
          <cell r="B49">
            <v>35.1</v>
          </cell>
          <cell r="C49">
            <v>18.3</v>
          </cell>
        </row>
        <row r="50">
          <cell r="A50" t="str">
            <v>14:Q2</v>
          </cell>
          <cell r="B50">
            <v>35.200000000000003</v>
          </cell>
          <cell r="C50">
            <v>17.7</v>
          </cell>
        </row>
        <row r="51">
          <cell r="A51" t="str">
            <v>14:Q3</v>
          </cell>
          <cell r="B51">
            <v>30.4</v>
          </cell>
          <cell r="C51">
            <v>18.2</v>
          </cell>
        </row>
        <row r="52">
          <cell r="A52" t="str">
            <v>14:Q4</v>
          </cell>
          <cell r="B52">
            <v>39.200000000000003</v>
          </cell>
          <cell r="C52">
            <v>18.399999999999999</v>
          </cell>
        </row>
        <row r="53">
          <cell r="A53" t="str">
            <v>15:Q1</v>
          </cell>
          <cell r="B53">
            <v>37.700000000000003</v>
          </cell>
          <cell r="C53">
            <v>20.8</v>
          </cell>
        </row>
        <row r="54">
          <cell r="A54" t="str">
            <v>15:Q2</v>
          </cell>
          <cell r="B54">
            <v>33.6</v>
          </cell>
          <cell r="C54">
            <v>17.3</v>
          </cell>
        </row>
        <row r="55">
          <cell r="A55" t="str">
            <v>15:Q3</v>
          </cell>
          <cell r="B55">
            <v>30.516431924882632</v>
          </cell>
          <cell r="C55">
            <v>18.846411804158283</v>
          </cell>
        </row>
        <row r="56">
          <cell r="A56" t="str">
            <v>15:Q4</v>
          </cell>
          <cell r="B56">
            <v>32.94</v>
          </cell>
          <cell r="C56">
            <v>17.72</v>
          </cell>
        </row>
        <row r="57">
          <cell r="A57" t="str">
            <v>16:Q1</v>
          </cell>
          <cell r="B57">
            <v>38.090000000000003</v>
          </cell>
          <cell r="C57">
            <v>17.52</v>
          </cell>
        </row>
        <row r="58">
          <cell r="A58" t="str">
            <v>16:Q2</v>
          </cell>
          <cell r="B58">
            <v>36.93</v>
          </cell>
          <cell r="C58">
            <v>16.12</v>
          </cell>
        </row>
        <row r="59">
          <cell r="A59" t="str">
            <v>16:Q3</v>
          </cell>
          <cell r="B59">
            <v>32.700000000000003</v>
          </cell>
          <cell r="C59">
            <v>15.1</v>
          </cell>
        </row>
        <row r="60">
          <cell r="A60" t="str">
            <v>16:Q4</v>
          </cell>
          <cell r="B60">
            <v>36.6</v>
          </cell>
          <cell r="C60">
            <v>18.100000000000001</v>
          </cell>
        </row>
        <row r="61">
          <cell r="A61" t="str">
            <v>17:Q1</v>
          </cell>
          <cell r="B61">
            <v>36</v>
          </cell>
          <cell r="C61">
            <v>18.109090909090899</v>
          </cell>
        </row>
        <row r="62">
          <cell r="A62" t="str">
            <v>17:Q2</v>
          </cell>
          <cell r="B62">
            <v>36.299999999999997</v>
          </cell>
          <cell r="C62">
            <v>12.8</v>
          </cell>
        </row>
        <row r="63">
          <cell r="A63" t="str">
            <v>17:Q3</v>
          </cell>
          <cell r="B63">
            <v>30.9</v>
          </cell>
          <cell r="C63">
            <v>16.2</v>
          </cell>
        </row>
        <row r="64">
          <cell r="A64" t="str">
            <v>17:Q4</v>
          </cell>
          <cell r="B64">
            <v>35.9</v>
          </cell>
          <cell r="C64">
            <v>15</v>
          </cell>
        </row>
        <row r="65">
          <cell r="A65" t="str">
            <v>18:Q1</v>
          </cell>
          <cell r="B65">
            <v>40.517241379310342</v>
          </cell>
          <cell r="C65">
            <v>14.655172413793101</v>
          </cell>
        </row>
        <row r="66">
          <cell r="A66" t="str">
            <v>18:Q2</v>
          </cell>
          <cell r="B66">
            <v>42.897526501766784</v>
          </cell>
          <cell r="C66">
            <v>13.356890459363957</v>
          </cell>
        </row>
        <row r="67">
          <cell r="A67" t="str">
            <v>18:Q3</v>
          </cell>
          <cell r="B67">
            <v>34.836363636363636</v>
          </cell>
          <cell r="C67">
            <v>14.109090909090909</v>
          </cell>
        </row>
        <row r="68">
          <cell r="A68" t="str">
            <v>18:Q4</v>
          </cell>
          <cell r="B68">
            <v>35.082174462705431</v>
          </cell>
          <cell r="C68">
            <v>14.791403286978507</v>
          </cell>
        </row>
        <row r="69">
          <cell r="A69" t="str">
            <v>19:Q1</v>
          </cell>
          <cell r="B69">
            <v>38.703208556149733</v>
          </cell>
          <cell r="C69">
            <v>11.697860962566844</v>
          </cell>
        </row>
        <row r="70">
          <cell r="A70" t="str">
            <v>19:Q2</v>
          </cell>
          <cell r="B70">
            <v>42.963970088375255</v>
          </cell>
          <cell r="C70">
            <v>10.53704962610469</v>
          </cell>
        </row>
        <row r="71">
          <cell r="A71" t="str">
            <v>19:Q3</v>
          </cell>
          <cell r="B71">
            <v>31.444759206798867</v>
          </cell>
          <cell r="C71">
            <v>14.943342776203966</v>
          </cell>
        </row>
        <row r="72">
          <cell r="A72" t="str">
            <v>19:Q4</v>
          </cell>
          <cell r="B72">
            <v>37.889273356401382</v>
          </cell>
          <cell r="C72">
            <v>17.416378316032297</v>
          </cell>
        </row>
        <row r="73">
          <cell r="A73" t="str">
            <v>20:Q1</v>
          </cell>
          <cell r="B73">
            <v>37.413684871311993</v>
          </cell>
          <cell r="C73">
            <v>15.128688010043941</v>
          </cell>
        </row>
        <row r="74">
          <cell r="A74" t="str">
            <v>20:Q2</v>
          </cell>
          <cell r="B74">
            <v>61.049723756906083</v>
          </cell>
          <cell r="C74">
            <v>7.7348066298342539</v>
          </cell>
        </row>
        <row r="75">
          <cell r="A75" t="str">
            <v>20:Q3</v>
          </cell>
          <cell r="B75">
            <v>47.026893614000969</v>
          </cell>
          <cell r="C75">
            <v>10.957275206276853</v>
          </cell>
        </row>
        <row r="76">
          <cell r="A76" t="str">
            <v>20:Q4</v>
          </cell>
          <cell r="B76">
            <v>53.705781656472119</v>
          </cell>
          <cell r="C76">
            <v>8.3692824818485274</v>
          </cell>
        </row>
        <row r="77">
          <cell r="A77" t="str">
            <v>21:Q1</v>
          </cell>
          <cell r="B77">
            <v>49.838248357271048</v>
          </cell>
          <cell r="C77">
            <v>7.8796248105925502</v>
          </cell>
        </row>
        <row r="78">
          <cell r="A78" t="str">
            <v>21:Q2</v>
          </cell>
          <cell r="B78">
            <v>53.055909405195202</v>
          </cell>
          <cell r="C78">
            <v>6.9621302120932</v>
          </cell>
        </row>
        <row r="79">
          <cell r="A79" t="str">
            <v>21:Q3</v>
          </cell>
          <cell r="B79">
            <v>50.41</v>
          </cell>
          <cell r="C79">
            <v>5.51</v>
          </cell>
        </row>
        <row r="80">
          <cell r="A80" t="str">
            <v>21:Q4</v>
          </cell>
          <cell r="B80">
            <v>49.297943824339669</v>
          </cell>
          <cell r="C80">
            <v>10.758842655336929</v>
          </cell>
        </row>
        <row r="81">
          <cell r="A81" t="str">
            <v>22:Q1</v>
          </cell>
          <cell r="B81">
            <v>44.04</v>
          </cell>
          <cell r="C81">
            <v>13.08</v>
          </cell>
        </row>
        <row r="82">
          <cell r="A82" t="str">
            <v>22:Q2</v>
          </cell>
          <cell r="B82">
            <v>48.28</v>
          </cell>
          <cell r="C82">
            <v>12.75</v>
          </cell>
        </row>
        <row r="83">
          <cell r="A83" t="str">
            <v>22:Q3</v>
          </cell>
          <cell r="B83">
            <v>44.9</v>
          </cell>
          <cell r="C83">
            <v>11</v>
          </cell>
        </row>
        <row r="84">
          <cell r="A84" t="str">
            <v>22:Q4</v>
          </cell>
          <cell r="B84">
            <v>44.3</v>
          </cell>
          <cell r="C84">
            <v>12.83</v>
          </cell>
        </row>
        <row r="85">
          <cell r="A85" t="str">
            <v>23:Q1</v>
          </cell>
          <cell r="B85">
            <v>44.23</v>
          </cell>
          <cell r="C85">
            <v>10.84</v>
          </cell>
        </row>
        <row r="86">
          <cell r="A86" t="str">
            <v>23:Q2</v>
          </cell>
          <cell r="B86">
            <v>50.27</v>
          </cell>
          <cell r="C86">
            <v>12.04</v>
          </cell>
        </row>
        <row r="87">
          <cell r="A87" t="str">
            <v>23:Q3</v>
          </cell>
          <cell r="B87">
            <v>39.78</v>
          </cell>
          <cell r="C87">
            <v>13.55</v>
          </cell>
        </row>
        <row r="88">
          <cell r="A88" t="str">
            <v>23:Q4</v>
          </cell>
          <cell r="B88">
            <v>45.21</v>
          </cell>
          <cell r="C88">
            <v>13.910761154855644</v>
          </cell>
        </row>
        <row r="89">
          <cell r="A89" t="str">
            <v>24:Q1</v>
          </cell>
          <cell r="B89">
            <v>50.34</v>
          </cell>
          <cell r="C89">
            <v>11.08</v>
          </cell>
        </row>
        <row r="90">
          <cell r="A90" t="str">
            <v>24:Q2</v>
          </cell>
          <cell r="B90">
            <v>47.4</v>
          </cell>
          <cell r="C90">
            <v>12.75</v>
          </cell>
        </row>
        <row r="91">
          <cell r="A91" t="str">
            <v>24:Q3</v>
          </cell>
          <cell r="B91">
            <v>37.152890274841411</v>
          </cell>
          <cell r="C91">
            <v>17.919263131853697</v>
          </cell>
        </row>
        <row r="92">
          <cell r="A92" t="str">
            <v>24:Q4</v>
          </cell>
          <cell r="B92">
            <v>44.251960432576496</v>
          </cell>
          <cell r="C92">
            <v>14.17661831787197</v>
          </cell>
        </row>
        <row r="93">
          <cell r="A93" t="str">
            <v>25:Q1</v>
          </cell>
          <cell r="B93">
            <v>40.989306221355903</v>
          </cell>
          <cell r="C93">
            <v>15.8404888584523</v>
          </cell>
        </row>
        <row r="94">
          <cell r="A94" t="str">
            <v>25:Q2</v>
          </cell>
          <cell r="B94">
            <v>46.408728154359025</v>
          </cell>
          <cell r="C94">
            <v>13.961006162238609</v>
          </cell>
        </row>
        <row r="95">
          <cell r="A95" t="str">
            <v>25:Q3</v>
          </cell>
          <cell r="B95">
            <v>39.223668367639505</v>
          </cell>
          <cell r="C95">
            <v>16.312138065477896</v>
          </cell>
        </row>
        <row r="96">
          <cell r="A96" t="str">
            <v>25:Q4</v>
          </cell>
          <cell r="B96">
            <v>36.335939880166549</v>
          </cell>
          <cell r="C96">
            <v>16.294302833350258</v>
          </cell>
        </row>
        <row r="97">
          <cell r="A97" t="str">
            <v>26:Q1</v>
          </cell>
          <cell r="B97">
            <v>42.96</v>
          </cell>
          <cell r="C97">
            <v>17.309999999999999</v>
          </cell>
        </row>
      </sheetData>
      <sheetData sheetId="29" refreshError="1"/>
      <sheetData sheetId="30">
        <row r="1">
          <cell r="A1" t="str">
            <v xml:space="preserve">Number of Consumers with New Foreclosures and Bankruptcies </v>
          </cell>
        </row>
        <row r="2">
          <cell r="A2" t="str">
            <v>Thousands</v>
          </cell>
        </row>
        <row r="3">
          <cell r="A3" t="str">
            <v>Return to Table of Contents</v>
          </cell>
        </row>
        <row r="4">
          <cell r="B4" t="str">
            <v>foreclosure</v>
          </cell>
          <cell r="C4" t="str">
            <v>bankruptcy</v>
          </cell>
        </row>
        <row r="5">
          <cell r="A5" t="str">
            <v>03:Q1</v>
          </cell>
          <cell r="B5">
            <v>203.32</v>
          </cell>
          <cell r="C5">
            <v>612.26</v>
          </cell>
        </row>
        <row r="6">
          <cell r="A6" t="str">
            <v>03:Q2</v>
          </cell>
          <cell r="B6">
            <v>169.9</v>
          </cell>
          <cell r="C6">
            <v>628.66</v>
          </cell>
        </row>
        <row r="7">
          <cell r="A7" t="str">
            <v>03:Q3</v>
          </cell>
          <cell r="B7">
            <v>178.16</v>
          </cell>
          <cell r="C7">
            <v>542.44000000000005</v>
          </cell>
        </row>
        <row r="8">
          <cell r="A8" t="str">
            <v>03:Q4</v>
          </cell>
          <cell r="B8">
            <v>193.24</v>
          </cell>
          <cell r="C8">
            <v>516.02</v>
          </cell>
        </row>
        <row r="9">
          <cell r="A9" t="str">
            <v>04:Q1</v>
          </cell>
          <cell r="B9">
            <v>186.06</v>
          </cell>
          <cell r="C9">
            <v>534.9</v>
          </cell>
        </row>
        <row r="10">
          <cell r="A10" t="str">
            <v>04:Q2</v>
          </cell>
          <cell r="B10">
            <v>171.44</v>
          </cell>
          <cell r="C10">
            <v>579.32000000000005</v>
          </cell>
        </row>
        <row r="11">
          <cell r="A11" t="str">
            <v>04:Q3</v>
          </cell>
          <cell r="B11">
            <v>168.8</v>
          </cell>
          <cell r="C11">
            <v>530.52</v>
          </cell>
        </row>
        <row r="12">
          <cell r="A12" t="str">
            <v>04:Q4</v>
          </cell>
          <cell r="B12">
            <v>184.14</v>
          </cell>
          <cell r="C12">
            <v>572.91999999999996</v>
          </cell>
        </row>
        <row r="13">
          <cell r="A13" t="str">
            <v>05:Q1</v>
          </cell>
          <cell r="B13">
            <v>171.52</v>
          </cell>
          <cell r="C13">
            <v>462.08</v>
          </cell>
        </row>
        <row r="14">
          <cell r="A14" t="str">
            <v>05:Q2</v>
          </cell>
          <cell r="B14">
            <v>148.78</v>
          </cell>
          <cell r="C14">
            <v>662.5</v>
          </cell>
        </row>
        <row r="15">
          <cell r="A15" t="str">
            <v>05:Q3</v>
          </cell>
          <cell r="B15">
            <v>157.9</v>
          </cell>
          <cell r="C15">
            <v>667.92</v>
          </cell>
        </row>
        <row r="16">
          <cell r="A16" t="str">
            <v>05:Q4</v>
          </cell>
          <cell r="B16">
            <v>166.72</v>
          </cell>
          <cell r="C16">
            <v>948.62</v>
          </cell>
        </row>
        <row r="17">
          <cell r="A17" t="str">
            <v>06:Q1</v>
          </cell>
          <cell r="B17">
            <v>172.86</v>
          </cell>
          <cell r="C17">
            <v>213.86</v>
          </cell>
        </row>
        <row r="18">
          <cell r="A18" t="str">
            <v>06:Q2</v>
          </cell>
          <cell r="B18">
            <v>179.42</v>
          </cell>
          <cell r="C18">
            <v>250.96</v>
          </cell>
        </row>
        <row r="19">
          <cell r="A19" t="str">
            <v>06:Q3</v>
          </cell>
          <cell r="B19">
            <v>189.26</v>
          </cell>
          <cell r="C19">
            <v>271.27999999999997</v>
          </cell>
        </row>
        <row r="20">
          <cell r="A20" t="str">
            <v>06:Q4</v>
          </cell>
          <cell r="B20">
            <v>220.2</v>
          </cell>
          <cell r="C20">
            <v>276.16000000000003</v>
          </cell>
        </row>
        <row r="21">
          <cell r="A21" t="str">
            <v>07:Q1</v>
          </cell>
          <cell r="B21">
            <v>267.66000000000003</v>
          </cell>
          <cell r="C21">
            <v>258.83999999999997</v>
          </cell>
        </row>
        <row r="22">
          <cell r="A22" t="str">
            <v>07:Q2</v>
          </cell>
          <cell r="B22">
            <v>243.9</v>
          </cell>
          <cell r="C22">
            <v>290.56</v>
          </cell>
        </row>
        <row r="23">
          <cell r="A23" t="str">
            <v>07:Q3</v>
          </cell>
          <cell r="B23">
            <v>325.44</v>
          </cell>
          <cell r="C23">
            <v>318.42</v>
          </cell>
        </row>
        <row r="24">
          <cell r="A24" t="str">
            <v>07:Q4</v>
          </cell>
          <cell r="B24">
            <v>348.52</v>
          </cell>
          <cell r="C24">
            <v>352.32</v>
          </cell>
        </row>
        <row r="25">
          <cell r="A25" t="str">
            <v>08:Q1</v>
          </cell>
          <cell r="B25">
            <v>429.8</v>
          </cell>
          <cell r="C25">
            <v>326.86</v>
          </cell>
        </row>
        <row r="26">
          <cell r="A26" t="str">
            <v>08:Q2</v>
          </cell>
          <cell r="B26">
            <v>455.44</v>
          </cell>
          <cell r="C26">
            <v>385.46</v>
          </cell>
        </row>
        <row r="27">
          <cell r="A27" t="str">
            <v>08:Q3</v>
          </cell>
          <cell r="B27">
            <v>446.58</v>
          </cell>
          <cell r="C27">
            <v>404.08</v>
          </cell>
        </row>
        <row r="28">
          <cell r="A28" t="str">
            <v>08:Q4</v>
          </cell>
          <cell r="B28">
            <v>424.04</v>
          </cell>
          <cell r="C28">
            <v>431.76</v>
          </cell>
        </row>
        <row r="29">
          <cell r="A29" t="str">
            <v>09:Q1</v>
          </cell>
          <cell r="B29">
            <v>517.38</v>
          </cell>
          <cell r="C29">
            <v>413.9</v>
          </cell>
        </row>
        <row r="30">
          <cell r="A30" t="str">
            <v>09:Q2</v>
          </cell>
          <cell r="B30">
            <v>566.17999999999995</v>
          </cell>
          <cell r="C30">
            <v>524.08000000000004</v>
          </cell>
        </row>
        <row r="31">
          <cell r="A31" t="str">
            <v>09:Q3</v>
          </cell>
          <cell r="B31">
            <v>488.58</v>
          </cell>
          <cell r="C31">
            <v>517.55999999999995</v>
          </cell>
        </row>
        <row r="32">
          <cell r="A32" t="str">
            <v>09:Q4</v>
          </cell>
          <cell r="B32">
            <v>465.8</v>
          </cell>
          <cell r="C32">
            <v>486.86</v>
          </cell>
        </row>
        <row r="33">
          <cell r="A33" t="str">
            <v>10:Q1</v>
          </cell>
          <cell r="B33">
            <v>456.5</v>
          </cell>
          <cell r="C33">
            <v>463.18</v>
          </cell>
        </row>
        <row r="34">
          <cell r="A34" t="str">
            <v>10:Q2</v>
          </cell>
          <cell r="B34">
            <v>483.76</v>
          </cell>
          <cell r="C34">
            <v>621.41999999999996</v>
          </cell>
        </row>
        <row r="35">
          <cell r="A35" t="str">
            <v>10:Q3</v>
          </cell>
          <cell r="B35">
            <v>457.32</v>
          </cell>
          <cell r="C35">
            <v>521.52</v>
          </cell>
        </row>
        <row r="36">
          <cell r="A36" t="str">
            <v>10:Q4</v>
          </cell>
          <cell r="B36">
            <v>447.06</v>
          </cell>
          <cell r="C36">
            <v>500.12</v>
          </cell>
        </row>
        <row r="37">
          <cell r="A37" t="str">
            <v>11:Q1</v>
          </cell>
          <cell r="B37">
            <v>368.06</v>
          </cell>
          <cell r="C37">
            <v>433.6</v>
          </cell>
        </row>
        <row r="38">
          <cell r="A38" t="str">
            <v>11:Q2</v>
          </cell>
          <cell r="B38">
            <v>284.22000000000003</v>
          </cell>
          <cell r="C38">
            <v>473.36</v>
          </cell>
        </row>
        <row r="39">
          <cell r="A39" t="str">
            <v>11:Q3</v>
          </cell>
          <cell r="B39">
            <v>264.33999999999997</v>
          </cell>
          <cell r="C39">
            <v>423.34</v>
          </cell>
        </row>
        <row r="40">
          <cell r="A40" t="str">
            <v>11:Q4</v>
          </cell>
          <cell r="B40">
            <v>289.38</v>
          </cell>
          <cell r="C40">
            <v>425.4</v>
          </cell>
        </row>
        <row r="41">
          <cell r="A41" t="str">
            <v>12:Q1</v>
          </cell>
          <cell r="B41">
            <v>291.42</v>
          </cell>
          <cell r="C41">
            <v>371.42</v>
          </cell>
        </row>
        <row r="42">
          <cell r="A42" t="str">
            <v>12:Q2</v>
          </cell>
          <cell r="B42">
            <v>255.66</v>
          </cell>
          <cell r="C42">
            <v>398.98</v>
          </cell>
        </row>
        <row r="43">
          <cell r="A43" t="str">
            <v>12:Q3</v>
          </cell>
          <cell r="B43">
            <v>241.68</v>
          </cell>
          <cell r="C43">
            <v>354.3</v>
          </cell>
        </row>
        <row r="44">
          <cell r="A44" t="str">
            <v>12:Q4</v>
          </cell>
          <cell r="B44">
            <v>209.66</v>
          </cell>
          <cell r="C44">
            <v>335.92</v>
          </cell>
        </row>
        <row r="45">
          <cell r="A45" t="str">
            <v>13:Q1</v>
          </cell>
          <cell r="B45">
            <v>183.54</v>
          </cell>
          <cell r="C45">
            <v>309.2</v>
          </cell>
        </row>
        <row r="46">
          <cell r="A46" t="str">
            <v>13:Q2</v>
          </cell>
          <cell r="B46">
            <v>199.62</v>
          </cell>
          <cell r="C46">
            <v>380.02</v>
          </cell>
        </row>
        <row r="47">
          <cell r="A47" t="str">
            <v>13:Q3</v>
          </cell>
          <cell r="B47">
            <v>167.66</v>
          </cell>
          <cell r="C47">
            <v>355.46</v>
          </cell>
        </row>
        <row r="48">
          <cell r="A48" t="str">
            <v>13:Q4</v>
          </cell>
          <cell r="B48">
            <v>157.32</v>
          </cell>
          <cell r="C48">
            <v>332.36</v>
          </cell>
        </row>
        <row r="49">
          <cell r="A49" t="str">
            <v>14:Q1</v>
          </cell>
          <cell r="B49">
            <v>145.13999999999999</v>
          </cell>
          <cell r="C49">
            <v>266.04000000000002</v>
          </cell>
        </row>
        <row r="50">
          <cell r="A50" t="str">
            <v>14:Q2</v>
          </cell>
          <cell r="B50">
            <v>115.64</v>
          </cell>
          <cell r="C50">
            <v>308.12</v>
          </cell>
        </row>
        <row r="51">
          <cell r="A51" t="str">
            <v>14:Q3</v>
          </cell>
          <cell r="B51">
            <v>113.08</v>
          </cell>
          <cell r="C51">
            <v>262.76</v>
          </cell>
        </row>
        <row r="52">
          <cell r="A52" t="str">
            <v>14:Q4</v>
          </cell>
          <cell r="B52">
            <v>121.76</v>
          </cell>
          <cell r="C52">
            <v>267.76</v>
          </cell>
        </row>
        <row r="53">
          <cell r="A53" t="str">
            <v>15:Q1</v>
          </cell>
          <cell r="B53">
            <v>112.34</v>
          </cell>
          <cell r="C53">
            <v>255.22</v>
          </cell>
        </row>
        <row r="54">
          <cell r="A54" t="str">
            <v>15:Q2</v>
          </cell>
          <cell r="B54">
            <v>95.14</v>
          </cell>
          <cell r="C54">
            <v>265.3</v>
          </cell>
        </row>
        <row r="55">
          <cell r="A55" t="str">
            <v>15:Q3</v>
          </cell>
          <cell r="B55">
            <v>92.6</v>
          </cell>
          <cell r="C55">
            <v>225.86</v>
          </cell>
        </row>
        <row r="56">
          <cell r="A56" t="str">
            <v>15:Q4</v>
          </cell>
          <cell r="B56">
            <v>104.1</v>
          </cell>
          <cell r="C56">
            <v>213.28</v>
          </cell>
        </row>
        <row r="57">
          <cell r="A57" t="str">
            <v>16:Q1</v>
          </cell>
          <cell r="B57">
            <v>96.82</v>
          </cell>
          <cell r="C57">
            <v>206.9</v>
          </cell>
        </row>
        <row r="58">
          <cell r="A58" t="str">
            <v>16:Q2</v>
          </cell>
          <cell r="B58">
            <v>82.84</v>
          </cell>
          <cell r="C58">
            <v>224.42</v>
          </cell>
        </row>
        <row r="59">
          <cell r="A59" t="str">
            <v>16:Q3</v>
          </cell>
          <cell r="B59">
            <v>80.62</v>
          </cell>
          <cell r="C59">
            <v>213.3</v>
          </cell>
        </row>
        <row r="60">
          <cell r="A60" t="str">
            <v>16:Q4</v>
          </cell>
          <cell r="B60">
            <v>78.92</v>
          </cell>
          <cell r="C60">
            <v>204.16</v>
          </cell>
        </row>
        <row r="61">
          <cell r="A61" t="str">
            <v>17:Q1</v>
          </cell>
          <cell r="B61">
            <v>90.66</v>
          </cell>
          <cell r="C61">
            <v>203.44</v>
          </cell>
        </row>
        <row r="62">
          <cell r="A62" t="str">
            <v>17:Q2</v>
          </cell>
          <cell r="B62">
            <v>84.82</v>
          </cell>
          <cell r="C62">
            <v>224.02</v>
          </cell>
        </row>
        <row r="63">
          <cell r="A63" t="str">
            <v>17:Q3</v>
          </cell>
          <cell r="B63">
            <v>69.58</v>
          </cell>
          <cell r="C63">
            <v>208.44</v>
          </cell>
        </row>
        <row r="64">
          <cell r="A64" t="str">
            <v>17:Q4</v>
          </cell>
          <cell r="B64">
            <v>69.16</v>
          </cell>
          <cell r="C64">
            <v>200.4</v>
          </cell>
        </row>
        <row r="65">
          <cell r="A65" t="str">
            <v>18:Q1</v>
          </cell>
          <cell r="B65">
            <v>76.48</v>
          </cell>
          <cell r="C65">
            <v>191.54</v>
          </cell>
        </row>
        <row r="66">
          <cell r="A66" t="str">
            <v>18:Q2</v>
          </cell>
          <cell r="B66">
            <v>75.540000000000006</v>
          </cell>
          <cell r="C66">
            <v>224.9</v>
          </cell>
        </row>
        <row r="67">
          <cell r="A67" t="str">
            <v>18:Q3</v>
          </cell>
          <cell r="B67">
            <v>64.36</v>
          </cell>
          <cell r="C67">
            <v>214.54</v>
          </cell>
        </row>
        <row r="68">
          <cell r="A68" t="str">
            <v>18:Q4</v>
          </cell>
          <cell r="B68">
            <v>67.98</v>
          </cell>
          <cell r="C68">
            <v>195.2</v>
          </cell>
        </row>
        <row r="69">
          <cell r="A69" t="str">
            <v>19:Q1</v>
          </cell>
          <cell r="B69">
            <v>71.16</v>
          </cell>
          <cell r="C69">
            <v>192.08</v>
          </cell>
        </row>
        <row r="70">
          <cell r="A70" t="str">
            <v>19:Q2</v>
          </cell>
          <cell r="B70">
            <v>70.400000000000006</v>
          </cell>
          <cell r="C70">
            <v>234.28</v>
          </cell>
        </row>
        <row r="71">
          <cell r="A71" t="str">
            <v>19:Q3</v>
          </cell>
          <cell r="B71">
            <v>64.58</v>
          </cell>
          <cell r="C71">
            <v>186.12</v>
          </cell>
        </row>
        <row r="72">
          <cell r="A72" t="str">
            <v>19:Q4</v>
          </cell>
          <cell r="B72">
            <v>71.42</v>
          </cell>
          <cell r="C72">
            <v>201.82</v>
          </cell>
        </row>
        <row r="73">
          <cell r="A73" t="str">
            <v>20:Q1</v>
          </cell>
          <cell r="B73">
            <v>74.86</v>
          </cell>
          <cell r="C73">
            <v>188.98</v>
          </cell>
        </row>
        <row r="74">
          <cell r="A74" t="str">
            <v>20:Q2</v>
          </cell>
          <cell r="B74">
            <v>23.9</v>
          </cell>
          <cell r="C74">
            <v>135.6</v>
          </cell>
        </row>
        <row r="75">
          <cell r="A75" t="str">
            <v>20:Q3</v>
          </cell>
          <cell r="B75">
            <v>16.02</v>
          </cell>
          <cell r="C75">
            <v>131.84</v>
          </cell>
        </row>
        <row r="76">
          <cell r="A76" t="str">
            <v>20:Q4</v>
          </cell>
          <cell r="B76">
            <v>14.22</v>
          </cell>
          <cell r="C76">
            <v>120.64</v>
          </cell>
        </row>
        <row r="77">
          <cell r="A77" t="str">
            <v>21:Q1</v>
          </cell>
          <cell r="B77">
            <v>11.46</v>
          </cell>
          <cell r="C77">
            <v>113.78</v>
          </cell>
        </row>
        <row r="78">
          <cell r="A78" t="str">
            <v>21:Q2</v>
          </cell>
          <cell r="B78">
            <v>8.1</v>
          </cell>
          <cell r="C78">
            <v>118.68</v>
          </cell>
        </row>
        <row r="79">
          <cell r="A79" t="str">
            <v>21:Q3</v>
          </cell>
          <cell r="B79">
            <v>9.6</v>
          </cell>
          <cell r="C79">
            <v>99.3</v>
          </cell>
        </row>
        <row r="80">
          <cell r="A80" t="str">
            <v>21:Q4</v>
          </cell>
          <cell r="B80">
            <v>8.8800000000000008</v>
          </cell>
          <cell r="C80">
            <v>93.8</v>
          </cell>
        </row>
        <row r="81">
          <cell r="A81" t="str">
            <v>22:Q1</v>
          </cell>
          <cell r="B81">
            <v>24.24</v>
          </cell>
          <cell r="C81">
            <v>90.88</v>
          </cell>
        </row>
        <row r="82">
          <cell r="A82" t="str">
            <v>22:Q2</v>
          </cell>
          <cell r="B82">
            <v>35.119999999999997</v>
          </cell>
          <cell r="C82">
            <v>95.22</v>
          </cell>
        </row>
        <row r="83">
          <cell r="A83" t="str">
            <v>22:Q3</v>
          </cell>
          <cell r="B83">
            <v>28.5</v>
          </cell>
          <cell r="C83">
            <v>99.08</v>
          </cell>
        </row>
        <row r="84">
          <cell r="A84" t="str">
            <v>22:Q4</v>
          </cell>
          <cell r="B84">
            <v>34.28</v>
          </cell>
          <cell r="C84">
            <v>98.7</v>
          </cell>
        </row>
        <row r="85">
          <cell r="A85" t="str">
            <v>23:Q1</v>
          </cell>
          <cell r="B85">
            <v>35.659999999999997</v>
          </cell>
          <cell r="C85">
            <v>102.44</v>
          </cell>
        </row>
        <row r="86">
          <cell r="A86" t="str">
            <v>23:Q2</v>
          </cell>
          <cell r="B86">
            <v>38.840000000000003</v>
          </cell>
          <cell r="C86">
            <v>114.14</v>
          </cell>
        </row>
        <row r="87">
          <cell r="A87" t="str">
            <v>23:Q3</v>
          </cell>
          <cell r="B87">
            <v>36.1</v>
          </cell>
          <cell r="C87">
            <v>115.66</v>
          </cell>
        </row>
        <row r="88">
          <cell r="A88" t="str">
            <v>23:Q4</v>
          </cell>
          <cell r="B88">
            <v>40.22</v>
          </cell>
          <cell r="C88">
            <v>113.6</v>
          </cell>
        </row>
        <row r="89">
          <cell r="A89" t="str">
            <v>24:Q1</v>
          </cell>
          <cell r="B89">
            <v>44.18</v>
          </cell>
          <cell r="C89">
            <v>121.36</v>
          </cell>
        </row>
        <row r="90">
          <cell r="A90" t="str">
            <v>24:Q2</v>
          </cell>
          <cell r="B90">
            <v>47.18</v>
          </cell>
          <cell r="C90">
            <v>136.18</v>
          </cell>
        </row>
        <row r="91">
          <cell r="A91" t="str">
            <v>24:Q3</v>
          </cell>
          <cell r="B91">
            <v>41.52</v>
          </cell>
          <cell r="C91">
            <v>126.14</v>
          </cell>
        </row>
        <row r="92">
          <cell r="A92" t="str">
            <v>24:Q4</v>
          </cell>
          <cell r="B92">
            <v>41.22</v>
          </cell>
          <cell r="C92">
            <v>122.66</v>
          </cell>
        </row>
        <row r="93">
          <cell r="A93" t="str">
            <v>25:Q1</v>
          </cell>
          <cell r="B93">
            <v>61.66</v>
          </cell>
          <cell r="C93">
            <v>104.86</v>
          </cell>
        </row>
        <row r="94">
          <cell r="A94" t="str">
            <v>25:Q2</v>
          </cell>
          <cell r="B94">
            <v>52.8</v>
          </cell>
          <cell r="C94">
            <v>131.32</v>
          </cell>
        </row>
        <row r="95">
          <cell r="A95" t="str">
            <v>25:Q3</v>
          </cell>
          <cell r="B95">
            <v>54.76</v>
          </cell>
          <cell r="C95">
            <v>141.63999999999999</v>
          </cell>
        </row>
        <row r="96">
          <cell r="A96" t="str">
            <v>25:Q4</v>
          </cell>
          <cell r="B96">
            <v>58.14</v>
          </cell>
          <cell r="C96">
            <v>123.82</v>
          </cell>
        </row>
        <row r="97">
          <cell r="A97" t="str">
            <v>26:Q1</v>
          </cell>
          <cell r="B97">
            <v>59.16</v>
          </cell>
          <cell r="C97">
            <v>124.02</v>
          </cell>
        </row>
      </sheetData>
      <sheetData sheetId="31" refreshError="1"/>
      <sheetData sheetId="32">
        <row r="1">
          <cell r="A1" t="str">
            <v>Third Party Collections</v>
          </cell>
        </row>
        <row r="2">
          <cell r="A2" t="str">
            <v>Percent</v>
          </cell>
        </row>
        <row r="3">
          <cell r="A3" t="str">
            <v>Return to Table of Contents</v>
          </cell>
        </row>
        <row r="4">
          <cell r="B4" t="str">
            <v>proportion of consumers with collection</v>
          </cell>
          <cell r="C4" t="str">
            <v>average collection amount per person with item</v>
          </cell>
        </row>
        <row r="5">
          <cell r="A5" t="str">
            <v>03:Q1</v>
          </cell>
          <cell r="B5">
            <v>9.77</v>
          </cell>
          <cell r="C5">
            <v>901.1</v>
          </cell>
        </row>
        <row r="6">
          <cell r="A6" t="str">
            <v>03:Q2</v>
          </cell>
          <cell r="B6">
            <v>9.2899999999999991</v>
          </cell>
          <cell r="C6">
            <v>867.47</v>
          </cell>
        </row>
        <row r="7">
          <cell r="A7" t="str">
            <v>03:Q3</v>
          </cell>
          <cell r="B7">
            <v>9.0399999999999991</v>
          </cell>
          <cell r="C7">
            <v>995.35</v>
          </cell>
        </row>
        <row r="8">
          <cell r="A8" t="str">
            <v>03:Q4</v>
          </cell>
          <cell r="B8">
            <v>9.33</v>
          </cell>
          <cell r="C8">
            <v>971.75</v>
          </cell>
        </row>
        <row r="9">
          <cell r="A9" t="str">
            <v>04:Q1</v>
          </cell>
          <cell r="B9">
            <v>10.55</v>
          </cell>
          <cell r="C9">
            <v>1011.78</v>
          </cell>
        </row>
        <row r="10">
          <cell r="A10" t="str">
            <v>04:Q2</v>
          </cell>
          <cell r="B10">
            <v>11.71</v>
          </cell>
          <cell r="C10">
            <v>1046</v>
          </cell>
        </row>
        <row r="11">
          <cell r="A11" t="str">
            <v>04:Q3</v>
          </cell>
          <cell r="B11">
            <v>11.8</v>
          </cell>
          <cell r="C11">
            <v>1059.55</v>
          </cell>
        </row>
        <row r="12">
          <cell r="A12" t="str">
            <v>04:Q4</v>
          </cell>
          <cell r="B12">
            <v>12.2</v>
          </cell>
          <cell r="C12">
            <v>1068.27</v>
          </cell>
        </row>
        <row r="13">
          <cell r="A13" t="str">
            <v>05:Q1</v>
          </cell>
          <cell r="B13">
            <v>12.35</v>
          </cell>
          <cell r="C13">
            <v>1059.1400000000001</v>
          </cell>
        </row>
        <row r="14">
          <cell r="A14" t="str">
            <v>05:Q2</v>
          </cell>
          <cell r="B14">
            <v>12.38</v>
          </cell>
          <cell r="C14">
            <v>1079.0899999999999</v>
          </cell>
        </row>
        <row r="15">
          <cell r="A15" t="str">
            <v>05:Q3</v>
          </cell>
          <cell r="B15">
            <v>12.75</v>
          </cell>
          <cell r="C15">
            <v>1136.8800000000001</v>
          </cell>
        </row>
        <row r="16">
          <cell r="A16" t="str">
            <v>05:Q4</v>
          </cell>
          <cell r="B16">
            <v>12.48</v>
          </cell>
          <cell r="C16">
            <v>1148.93</v>
          </cell>
        </row>
        <row r="17">
          <cell r="A17" t="str">
            <v>06:Q1</v>
          </cell>
          <cell r="B17">
            <v>12.28</v>
          </cell>
          <cell r="C17">
            <v>1197.97</v>
          </cell>
        </row>
        <row r="18">
          <cell r="A18" t="str">
            <v>06:Q2</v>
          </cell>
          <cell r="B18">
            <v>12.41</v>
          </cell>
          <cell r="C18">
            <v>1169.6300000000001</v>
          </cell>
        </row>
        <row r="19">
          <cell r="A19" t="str">
            <v>06:Q3</v>
          </cell>
          <cell r="B19">
            <v>12.53</v>
          </cell>
          <cell r="C19">
            <v>1156.56</v>
          </cell>
        </row>
        <row r="20">
          <cell r="A20" t="str">
            <v>06:Q4</v>
          </cell>
          <cell r="B20">
            <v>12.78</v>
          </cell>
          <cell r="C20">
            <v>1165.17</v>
          </cell>
        </row>
        <row r="21">
          <cell r="A21" t="str">
            <v>07:Q1</v>
          </cell>
          <cell r="B21">
            <v>12.63</v>
          </cell>
          <cell r="C21">
            <v>1231.45</v>
          </cell>
        </row>
        <row r="22">
          <cell r="A22" t="str">
            <v>07:Q2</v>
          </cell>
          <cell r="B22">
            <v>12.49</v>
          </cell>
          <cell r="C22">
            <v>1296.54</v>
          </cell>
        </row>
        <row r="23">
          <cell r="A23" t="str">
            <v>07:Q3</v>
          </cell>
          <cell r="B23">
            <v>12.6</v>
          </cell>
          <cell r="C23">
            <v>1314.86</v>
          </cell>
        </row>
        <row r="24">
          <cell r="A24" t="str">
            <v>07:Q4</v>
          </cell>
          <cell r="B24">
            <v>12.76</v>
          </cell>
          <cell r="C24">
            <v>1300.6300000000001</v>
          </cell>
        </row>
        <row r="25">
          <cell r="A25" t="str">
            <v>08:Q1</v>
          </cell>
          <cell r="B25">
            <v>13.05</v>
          </cell>
          <cell r="C25">
            <v>1339.57</v>
          </cell>
        </row>
        <row r="26">
          <cell r="A26" t="str">
            <v>08:Q2</v>
          </cell>
          <cell r="B26">
            <v>12.88</v>
          </cell>
          <cell r="C26">
            <v>1342.43</v>
          </cell>
        </row>
        <row r="27">
          <cell r="A27" t="str">
            <v>08:Q3</v>
          </cell>
          <cell r="B27">
            <v>12.93</v>
          </cell>
          <cell r="C27">
            <v>1336.87</v>
          </cell>
        </row>
        <row r="28">
          <cell r="A28" t="str">
            <v>08:Q4</v>
          </cell>
          <cell r="B28">
            <v>13.15</v>
          </cell>
          <cell r="C28">
            <v>1317.59</v>
          </cell>
        </row>
        <row r="29">
          <cell r="A29" t="str">
            <v>09:Q1</v>
          </cell>
          <cell r="B29">
            <v>13.66</v>
          </cell>
          <cell r="C29">
            <v>1313.04</v>
          </cell>
        </row>
        <row r="30">
          <cell r="A30" t="str">
            <v>09:Q2</v>
          </cell>
          <cell r="B30">
            <v>13.84</v>
          </cell>
          <cell r="C30">
            <v>1314.99</v>
          </cell>
        </row>
        <row r="31">
          <cell r="A31" t="str">
            <v>09:Q3</v>
          </cell>
          <cell r="B31">
            <v>13.7</v>
          </cell>
          <cell r="C31">
            <v>1320.44</v>
          </cell>
        </row>
        <row r="32">
          <cell r="A32" t="str">
            <v>09:Q4</v>
          </cell>
          <cell r="B32">
            <v>13.95</v>
          </cell>
          <cell r="C32">
            <v>1378.96</v>
          </cell>
        </row>
        <row r="33">
          <cell r="A33" t="str">
            <v>10:Q1</v>
          </cell>
          <cell r="B33">
            <v>14.22</v>
          </cell>
          <cell r="C33">
            <v>1367</v>
          </cell>
        </row>
        <row r="34">
          <cell r="A34" t="str">
            <v>10:Q2</v>
          </cell>
          <cell r="B34">
            <v>14.16</v>
          </cell>
          <cell r="C34">
            <v>1427</v>
          </cell>
        </row>
        <row r="35">
          <cell r="A35" t="str">
            <v>10:Q3</v>
          </cell>
          <cell r="B35">
            <v>14.18</v>
          </cell>
          <cell r="C35">
            <v>1429</v>
          </cell>
        </row>
        <row r="36">
          <cell r="A36" t="str">
            <v>10:Q4</v>
          </cell>
          <cell r="B36">
            <v>14.13</v>
          </cell>
          <cell r="C36">
            <v>1367</v>
          </cell>
        </row>
        <row r="37">
          <cell r="A37" t="str">
            <v>11:Q1</v>
          </cell>
          <cell r="B37">
            <v>13.95</v>
          </cell>
          <cell r="C37">
            <v>1386</v>
          </cell>
        </row>
        <row r="38">
          <cell r="A38" t="str">
            <v>11:Q2</v>
          </cell>
          <cell r="B38">
            <v>14.38</v>
          </cell>
          <cell r="C38">
            <v>1389</v>
          </cell>
        </row>
        <row r="39">
          <cell r="A39" t="str">
            <v>11:Q3</v>
          </cell>
          <cell r="B39">
            <v>14.26</v>
          </cell>
          <cell r="C39">
            <v>1415.8</v>
          </cell>
        </row>
        <row r="40">
          <cell r="A40" t="str">
            <v>11:Q4</v>
          </cell>
          <cell r="B40">
            <v>14.29</v>
          </cell>
          <cell r="C40">
            <v>1437.18</v>
          </cell>
        </row>
        <row r="41">
          <cell r="A41" t="str">
            <v>12:Q1</v>
          </cell>
          <cell r="B41">
            <v>14.26</v>
          </cell>
          <cell r="C41">
            <v>1497.01</v>
          </cell>
        </row>
        <row r="42">
          <cell r="A42" t="str">
            <v>12:Q2</v>
          </cell>
          <cell r="B42">
            <v>14.25</v>
          </cell>
          <cell r="C42">
            <v>1549.97</v>
          </cell>
        </row>
        <row r="43">
          <cell r="A43" t="str">
            <v>12:Q3</v>
          </cell>
          <cell r="B43">
            <v>14</v>
          </cell>
          <cell r="C43">
            <v>1545.59</v>
          </cell>
        </row>
        <row r="44">
          <cell r="A44" t="str">
            <v>12:Q4</v>
          </cell>
          <cell r="B44">
            <v>14.63</v>
          </cell>
          <cell r="C44">
            <v>1498.55</v>
          </cell>
        </row>
        <row r="45">
          <cell r="A45" t="str">
            <v>13:Q1</v>
          </cell>
          <cell r="B45">
            <v>14.64</v>
          </cell>
          <cell r="C45">
            <v>1433.31</v>
          </cell>
        </row>
        <row r="46">
          <cell r="A46" t="str">
            <v>13:Q2</v>
          </cell>
          <cell r="B46">
            <v>14.6</v>
          </cell>
          <cell r="C46">
            <v>1408.92</v>
          </cell>
        </row>
        <row r="47">
          <cell r="A47" t="str">
            <v>13:Q3</v>
          </cell>
          <cell r="B47">
            <v>13.83</v>
          </cell>
          <cell r="C47">
            <v>1457.72</v>
          </cell>
        </row>
        <row r="48">
          <cell r="A48" t="str">
            <v>13:Q4</v>
          </cell>
          <cell r="B48">
            <v>13.88</v>
          </cell>
          <cell r="C48">
            <v>1520.29</v>
          </cell>
        </row>
        <row r="49">
          <cell r="A49" t="str">
            <v>14:Q1</v>
          </cell>
          <cell r="B49">
            <v>14.28</v>
          </cell>
          <cell r="C49">
            <v>1517.56</v>
          </cell>
        </row>
        <row r="50">
          <cell r="A50" t="str">
            <v>14:Q2</v>
          </cell>
          <cell r="B50">
            <v>14.31</v>
          </cell>
          <cell r="C50">
            <v>1502.5</v>
          </cell>
        </row>
        <row r="51">
          <cell r="A51" t="str">
            <v>14:Q3</v>
          </cell>
          <cell r="B51">
            <v>13.94</v>
          </cell>
          <cell r="C51">
            <v>1453.98</v>
          </cell>
        </row>
        <row r="52">
          <cell r="A52" t="str">
            <v>14:Q4</v>
          </cell>
          <cell r="B52">
            <v>13.48</v>
          </cell>
          <cell r="C52">
            <v>1430.03</v>
          </cell>
        </row>
        <row r="53">
          <cell r="A53" t="str">
            <v>15:Q1</v>
          </cell>
          <cell r="B53">
            <v>13.57</v>
          </cell>
          <cell r="C53">
            <v>1375.54</v>
          </cell>
        </row>
        <row r="54">
          <cell r="A54" t="str">
            <v>15:Q2</v>
          </cell>
          <cell r="B54">
            <v>13.91</v>
          </cell>
          <cell r="C54">
            <v>1391.17</v>
          </cell>
        </row>
        <row r="55">
          <cell r="A55" t="str">
            <v>15:Q3</v>
          </cell>
          <cell r="B55">
            <v>13.64</v>
          </cell>
          <cell r="C55">
            <v>1350.42</v>
          </cell>
        </row>
        <row r="56">
          <cell r="A56" t="str">
            <v>15:Q4</v>
          </cell>
          <cell r="B56">
            <v>13.52</v>
          </cell>
          <cell r="C56">
            <v>1352.6</v>
          </cell>
        </row>
        <row r="57">
          <cell r="A57" t="str">
            <v>16:Q1</v>
          </cell>
          <cell r="B57">
            <v>12.84</v>
          </cell>
          <cell r="C57">
            <v>1308.28</v>
          </cell>
        </row>
        <row r="58">
          <cell r="A58" t="str">
            <v>16:Q2</v>
          </cell>
          <cell r="B58">
            <v>12.57</v>
          </cell>
          <cell r="C58">
            <v>1309.53</v>
          </cell>
        </row>
        <row r="59">
          <cell r="A59" t="str">
            <v>16:Q3</v>
          </cell>
          <cell r="B59">
            <v>12.65</v>
          </cell>
          <cell r="C59">
            <v>1327.13</v>
          </cell>
        </row>
        <row r="60">
          <cell r="A60" t="str">
            <v>16:Q4</v>
          </cell>
          <cell r="B60">
            <v>12.26</v>
          </cell>
          <cell r="C60">
            <v>1342.55</v>
          </cell>
        </row>
        <row r="61">
          <cell r="A61" t="str">
            <v>17:Q1</v>
          </cell>
          <cell r="B61">
            <v>12.61</v>
          </cell>
          <cell r="C61">
            <v>1326.29</v>
          </cell>
        </row>
        <row r="62">
          <cell r="A62" t="str">
            <v>17:Q2</v>
          </cell>
          <cell r="B62">
            <v>12.45</v>
          </cell>
          <cell r="C62">
            <v>1387.17</v>
          </cell>
        </row>
        <row r="63">
          <cell r="A63" t="str">
            <v>17:Q3</v>
          </cell>
          <cell r="B63">
            <v>12.29</v>
          </cell>
          <cell r="C63">
            <v>1340.41</v>
          </cell>
        </row>
        <row r="64">
          <cell r="A64" t="str">
            <v>17:Q4</v>
          </cell>
          <cell r="B64">
            <v>10.7</v>
          </cell>
          <cell r="C64">
            <v>1308.8499999999999</v>
          </cell>
        </row>
        <row r="65">
          <cell r="A65" t="str">
            <v>18:Q1</v>
          </cell>
          <cell r="B65">
            <v>9.52</v>
          </cell>
          <cell r="C65">
            <v>1337.32</v>
          </cell>
        </row>
        <row r="66">
          <cell r="A66" t="str">
            <v>18:Q2</v>
          </cell>
          <cell r="B66">
            <v>9.42</v>
          </cell>
          <cell r="C66">
            <v>1386.17</v>
          </cell>
        </row>
        <row r="67">
          <cell r="A67" t="str">
            <v>18:Q3</v>
          </cell>
          <cell r="B67">
            <v>9.3800000000000008</v>
          </cell>
          <cell r="C67">
            <v>1421.67</v>
          </cell>
        </row>
        <row r="68">
          <cell r="A68" t="str">
            <v>18:Q4</v>
          </cell>
          <cell r="B68">
            <v>9.34</v>
          </cell>
          <cell r="C68">
            <v>1406.37</v>
          </cell>
        </row>
        <row r="69">
          <cell r="A69" t="str">
            <v>19:Q1</v>
          </cell>
          <cell r="B69">
            <v>9.1999999999999993</v>
          </cell>
          <cell r="C69">
            <v>1389.59</v>
          </cell>
        </row>
        <row r="70">
          <cell r="A70" t="str">
            <v>19:Q2</v>
          </cell>
          <cell r="B70">
            <v>9.33</v>
          </cell>
          <cell r="C70">
            <v>1414.6</v>
          </cell>
        </row>
        <row r="71">
          <cell r="A71" t="str">
            <v>19:Q3</v>
          </cell>
          <cell r="B71">
            <v>8.9700000000000006</v>
          </cell>
          <cell r="C71">
            <v>1455</v>
          </cell>
        </row>
        <row r="72">
          <cell r="A72" t="str">
            <v>19:Q4</v>
          </cell>
          <cell r="B72">
            <v>9.08</v>
          </cell>
          <cell r="C72">
            <v>1451.7</v>
          </cell>
        </row>
        <row r="73">
          <cell r="A73" t="str">
            <v>20:Q1</v>
          </cell>
          <cell r="B73">
            <v>8.93</v>
          </cell>
          <cell r="C73">
            <v>1448.74</v>
          </cell>
        </row>
        <row r="74">
          <cell r="A74" t="str">
            <v>20:Q2</v>
          </cell>
          <cell r="B74">
            <v>8.2200000000000006</v>
          </cell>
          <cell r="C74">
            <v>1405.18</v>
          </cell>
        </row>
        <row r="75">
          <cell r="A75" t="str">
            <v>20:Q3</v>
          </cell>
          <cell r="B75">
            <v>7.89</v>
          </cell>
          <cell r="C75">
            <v>1459.5</v>
          </cell>
        </row>
        <row r="76">
          <cell r="A76" t="str">
            <v>20:Q4</v>
          </cell>
          <cell r="B76">
            <v>7.68</v>
          </cell>
          <cell r="C76">
            <v>1437.51</v>
          </cell>
        </row>
        <row r="77">
          <cell r="A77" t="str">
            <v>21:Q1</v>
          </cell>
          <cell r="B77">
            <v>7.38</v>
          </cell>
          <cell r="C77">
            <v>1413.11</v>
          </cell>
        </row>
        <row r="78">
          <cell r="A78" t="str">
            <v>21:Q2</v>
          </cell>
          <cell r="B78">
            <v>7.44</v>
          </cell>
          <cell r="C78">
            <v>1382.36</v>
          </cell>
        </row>
        <row r="79">
          <cell r="A79" t="str">
            <v>21:Q3</v>
          </cell>
          <cell r="B79">
            <v>6.95</v>
          </cell>
          <cell r="C79">
            <v>1427.13</v>
          </cell>
        </row>
        <row r="80">
          <cell r="A80" t="str">
            <v>21:Q4</v>
          </cell>
          <cell r="B80">
            <v>6.28</v>
          </cell>
          <cell r="C80">
            <v>1234.1199999999999</v>
          </cell>
        </row>
        <row r="81">
          <cell r="A81" t="str">
            <v>22:Q1</v>
          </cell>
          <cell r="B81">
            <v>6.04</v>
          </cell>
          <cell r="C81">
            <v>1218.98</v>
          </cell>
        </row>
        <row r="82">
          <cell r="A82" t="str">
            <v>22:Q2</v>
          </cell>
          <cell r="B82">
            <v>6.31</v>
          </cell>
          <cell r="C82">
            <v>1238.95</v>
          </cell>
        </row>
        <row r="83">
          <cell r="A83" t="str">
            <v>22:Q3</v>
          </cell>
          <cell r="B83">
            <v>5.65</v>
          </cell>
          <cell r="C83">
            <v>1266.1400000000001</v>
          </cell>
        </row>
        <row r="84">
          <cell r="A84" t="str">
            <v>22:Q4</v>
          </cell>
          <cell r="B84">
            <v>5.2</v>
          </cell>
          <cell r="C84">
            <v>1236.93</v>
          </cell>
        </row>
        <row r="85">
          <cell r="A85" t="str">
            <v>23:Q1</v>
          </cell>
          <cell r="B85">
            <v>5.24</v>
          </cell>
          <cell r="C85">
            <v>1316.4</v>
          </cell>
        </row>
        <row r="86">
          <cell r="A86" t="str">
            <v>23:Q2</v>
          </cell>
          <cell r="B86">
            <v>4.63</v>
          </cell>
          <cell r="C86">
            <v>1554.9</v>
          </cell>
        </row>
        <row r="87">
          <cell r="A87" t="str">
            <v>23:Q3</v>
          </cell>
          <cell r="B87">
            <v>4.7300000000000004</v>
          </cell>
          <cell r="C87">
            <v>1619.99</v>
          </cell>
        </row>
        <row r="88">
          <cell r="A88" t="str">
            <v>23:Q4</v>
          </cell>
          <cell r="B88">
            <v>4.6500000000000004</v>
          </cell>
          <cell r="C88">
            <v>1591.06</v>
          </cell>
        </row>
        <row r="89">
          <cell r="A89" t="str">
            <v>24:Q1</v>
          </cell>
          <cell r="B89">
            <v>4.8099999999999996</v>
          </cell>
          <cell r="C89">
            <v>1595.97</v>
          </cell>
        </row>
        <row r="90">
          <cell r="A90" t="str">
            <v>24:Q2</v>
          </cell>
          <cell r="B90">
            <v>4.8499999999999996</v>
          </cell>
          <cell r="C90">
            <v>1609.14</v>
          </cell>
        </row>
        <row r="91">
          <cell r="A91" t="str">
            <v>24:Q3</v>
          </cell>
          <cell r="B91">
            <v>4.5999999999999996</v>
          </cell>
          <cell r="C91">
            <v>1705.47</v>
          </cell>
        </row>
        <row r="92">
          <cell r="A92" t="str">
            <v>24:Q4</v>
          </cell>
          <cell r="B92">
            <v>4.62</v>
          </cell>
          <cell r="C92">
            <v>1630.88</v>
          </cell>
        </row>
        <row r="93">
          <cell r="A93" t="str">
            <v>25:Q1</v>
          </cell>
          <cell r="B93">
            <v>4.5599999999999996</v>
          </cell>
          <cell r="C93">
            <v>1663.49</v>
          </cell>
        </row>
        <row r="94">
          <cell r="A94" t="str">
            <v>25:Q2</v>
          </cell>
          <cell r="B94">
            <v>4.74</v>
          </cell>
          <cell r="C94">
            <v>1581.08</v>
          </cell>
        </row>
        <row r="95">
          <cell r="A95" t="str">
            <v>25:Q3</v>
          </cell>
          <cell r="B95">
            <v>4.92</v>
          </cell>
          <cell r="C95">
            <v>1623.39</v>
          </cell>
        </row>
        <row r="96">
          <cell r="A96" t="str">
            <v>25:Q4</v>
          </cell>
          <cell r="B96">
            <v>4.5999999999999996</v>
          </cell>
          <cell r="C96">
            <v>1678.3</v>
          </cell>
        </row>
        <row r="97">
          <cell r="A97" t="str">
            <v>26:Q1</v>
          </cell>
          <cell r="B97">
            <v>4.9800000000000004</v>
          </cell>
          <cell r="C97">
            <v>1539.99</v>
          </cell>
        </row>
      </sheetData>
      <sheetData sheetId="33" refreshError="1"/>
      <sheetData sheetId="34">
        <row r="1">
          <cell r="A1" t="str">
            <v>Total Debt Balance by Age</v>
          </cell>
        </row>
        <row r="2">
          <cell r="A2" t="str">
            <v>Trillions of Dollars</v>
          </cell>
        </row>
        <row r="4">
          <cell r="B4" t="str">
            <v>18-29</v>
          </cell>
          <cell r="C4" t="str">
            <v>30-39</v>
          </cell>
          <cell r="D4" t="str">
            <v>40-49</v>
          </cell>
          <cell r="E4" t="str">
            <v>50-59</v>
          </cell>
          <cell r="F4" t="str">
            <v>60-69</v>
          </cell>
          <cell r="G4" t="str">
            <v>70+</v>
          </cell>
        </row>
        <row r="5">
          <cell r="A5" t="str">
            <v>99:Q1</v>
          </cell>
          <cell r="B5">
            <v>0.35189999999999999</v>
          </cell>
          <cell r="C5">
            <v>1.2210000000000001</v>
          </cell>
          <cell r="D5">
            <v>1.4610000000000001</v>
          </cell>
          <cell r="E5">
            <v>0.97789999999999999</v>
          </cell>
          <cell r="F5">
            <v>0.3755</v>
          </cell>
          <cell r="G5">
            <v>0.1784</v>
          </cell>
        </row>
        <row r="6">
          <cell r="A6" t="str">
            <v>99:Q2</v>
          </cell>
          <cell r="B6">
            <v>0.3735</v>
          </cell>
          <cell r="C6">
            <v>1.264</v>
          </cell>
          <cell r="D6">
            <v>1.494</v>
          </cell>
          <cell r="E6">
            <v>1.004</v>
          </cell>
          <cell r="F6">
            <v>0.37980000000000003</v>
          </cell>
          <cell r="G6">
            <v>0.18090000000000001</v>
          </cell>
        </row>
        <row r="7">
          <cell r="A7" t="str">
            <v>99:Q3</v>
          </cell>
          <cell r="B7">
            <v>0.41510000000000002</v>
          </cell>
          <cell r="C7">
            <v>1.33</v>
          </cell>
          <cell r="D7">
            <v>1.54</v>
          </cell>
          <cell r="E7">
            <v>1.024</v>
          </cell>
          <cell r="F7">
            <v>0.38150000000000001</v>
          </cell>
          <cell r="G7">
            <v>0.17780000000000001</v>
          </cell>
        </row>
        <row r="8">
          <cell r="A8" t="str">
            <v>99:Q4</v>
          </cell>
          <cell r="B8">
            <v>0.43090000000000001</v>
          </cell>
          <cell r="C8">
            <v>1.333</v>
          </cell>
          <cell r="D8">
            <v>1.5249999999999999</v>
          </cell>
          <cell r="E8">
            <v>1</v>
          </cell>
          <cell r="F8">
            <v>0.374</v>
          </cell>
          <cell r="G8">
            <v>0.17630000000000001</v>
          </cell>
        </row>
        <row r="9">
          <cell r="A9" t="str">
            <v>00:Q1</v>
          </cell>
          <cell r="B9">
            <v>0.38790000000000002</v>
          </cell>
          <cell r="C9">
            <v>1.349</v>
          </cell>
          <cell r="D9">
            <v>1.639</v>
          </cell>
          <cell r="E9">
            <v>1.129</v>
          </cell>
          <cell r="F9">
            <v>0.4269</v>
          </cell>
          <cell r="G9">
            <v>0.21190000000000001</v>
          </cell>
        </row>
        <row r="10">
          <cell r="A10" t="str">
            <v>00:Q2</v>
          </cell>
          <cell r="B10">
            <v>0.41920000000000002</v>
          </cell>
          <cell r="C10">
            <v>1.411</v>
          </cell>
          <cell r="D10">
            <v>1.6890000000000001</v>
          </cell>
          <cell r="E10">
            <v>1.161</v>
          </cell>
          <cell r="F10">
            <v>0.4365</v>
          </cell>
          <cell r="G10">
            <v>0.21060000000000001</v>
          </cell>
        </row>
        <row r="11">
          <cell r="A11" t="str">
            <v>00:Q3</v>
          </cell>
          <cell r="B11">
            <v>0.45250000000000001</v>
          </cell>
          <cell r="C11">
            <v>1.446</v>
          </cell>
          <cell r="D11">
            <v>1.7090000000000001</v>
          </cell>
          <cell r="E11">
            <v>1.1579999999999999</v>
          </cell>
          <cell r="F11">
            <v>0.435</v>
          </cell>
          <cell r="G11">
            <v>0.2051</v>
          </cell>
        </row>
        <row r="12">
          <cell r="A12" t="str">
            <v>00:Q4</v>
          </cell>
          <cell r="B12">
            <v>0.49049999999999999</v>
          </cell>
          <cell r="C12">
            <v>1.496</v>
          </cell>
          <cell r="D12">
            <v>1.7430000000000001</v>
          </cell>
          <cell r="E12">
            <v>1.1739999999999999</v>
          </cell>
          <cell r="F12">
            <v>0.43540000000000001</v>
          </cell>
          <cell r="G12">
            <v>0.2092</v>
          </cell>
        </row>
        <row r="13">
          <cell r="A13" t="str">
            <v>01:Q1</v>
          </cell>
          <cell r="B13">
            <v>0.43369999999999997</v>
          </cell>
          <cell r="C13">
            <v>1.498</v>
          </cell>
          <cell r="D13">
            <v>1.845</v>
          </cell>
          <cell r="E13">
            <v>1.296</v>
          </cell>
          <cell r="F13">
            <v>0.4929</v>
          </cell>
          <cell r="G13">
            <v>0.2402</v>
          </cell>
        </row>
        <row r="14">
          <cell r="A14" t="str">
            <v>01:Q2</v>
          </cell>
          <cell r="B14">
            <v>0.43619999999999998</v>
          </cell>
          <cell r="C14">
            <v>1.421</v>
          </cell>
          <cell r="D14">
            <v>1.758</v>
          </cell>
          <cell r="E14">
            <v>1.2430000000000001</v>
          </cell>
          <cell r="F14">
            <v>0.47620000000000001</v>
          </cell>
          <cell r="G14">
            <v>0.23830000000000001</v>
          </cell>
        </row>
        <row r="15">
          <cell r="A15" t="str">
            <v>01:Q3</v>
          </cell>
          <cell r="B15">
            <v>0.49180000000000001</v>
          </cell>
          <cell r="C15">
            <v>1.542</v>
          </cell>
          <cell r="D15">
            <v>1.8740000000000001</v>
          </cell>
          <cell r="E15">
            <v>1.302</v>
          </cell>
          <cell r="F15">
            <v>0.49859999999999999</v>
          </cell>
          <cell r="G15">
            <v>0.2417</v>
          </cell>
        </row>
        <row r="16">
          <cell r="A16" t="str">
            <v>01:Q4</v>
          </cell>
          <cell r="B16">
            <v>0.52569999999999995</v>
          </cell>
          <cell r="C16">
            <v>1.5620000000000001</v>
          </cell>
          <cell r="D16">
            <v>1.881</v>
          </cell>
          <cell r="E16">
            <v>1.3</v>
          </cell>
          <cell r="F16">
            <v>0.4975</v>
          </cell>
          <cell r="G16">
            <v>0.2374</v>
          </cell>
        </row>
        <row r="17">
          <cell r="A17" t="str">
            <v>02:Q1</v>
          </cell>
          <cell r="B17">
            <v>0.47020000000000001</v>
          </cell>
          <cell r="C17">
            <v>1.5860000000000001</v>
          </cell>
          <cell r="D17">
            <v>1.988</v>
          </cell>
          <cell r="E17">
            <v>1.4410000000000001</v>
          </cell>
          <cell r="F17">
            <v>0.57250000000000001</v>
          </cell>
          <cell r="G17">
            <v>0.26790000000000003</v>
          </cell>
        </row>
        <row r="18">
          <cell r="A18" t="str">
            <v>02:Q2</v>
          </cell>
          <cell r="B18">
            <v>0.4929</v>
          </cell>
          <cell r="C18">
            <v>1.6040000000000001</v>
          </cell>
          <cell r="D18">
            <v>1.968</v>
          </cell>
          <cell r="E18">
            <v>1.4379999999999999</v>
          </cell>
          <cell r="F18">
            <v>0.56689999999999996</v>
          </cell>
          <cell r="G18">
            <v>0.2621</v>
          </cell>
        </row>
        <row r="19">
          <cell r="A19" t="str">
            <v>02:Q3</v>
          </cell>
          <cell r="B19">
            <v>0.55030000000000001</v>
          </cell>
          <cell r="C19">
            <v>1.7330000000000001</v>
          </cell>
          <cell r="D19">
            <v>2.0920000000000001</v>
          </cell>
          <cell r="E19">
            <v>1.5</v>
          </cell>
          <cell r="F19">
            <v>0.58489999999999998</v>
          </cell>
          <cell r="G19">
            <v>0.26669999999999999</v>
          </cell>
        </row>
        <row r="20">
          <cell r="A20" t="str">
            <v>02:Q4</v>
          </cell>
          <cell r="B20">
            <v>0.57809999999999995</v>
          </cell>
          <cell r="C20">
            <v>1.738</v>
          </cell>
          <cell r="D20">
            <v>2.0670000000000002</v>
          </cell>
          <cell r="E20">
            <v>1.482</v>
          </cell>
          <cell r="F20">
            <v>0.5766</v>
          </cell>
          <cell r="G20">
            <v>0.26029999999999998</v>
          </cell>
        </row>
        <row r="21">
          <cell r="A21" t="str">
            <v>03:Q1</v>
          </cell>
          <cell r="B21">
            <v>0.56440000000000001</v>
          </cell>
          <cell r="C21">
            <v>1.772</v>
          </cell>
          <cell r="D21">
            <v>2.2250000000000001</v>
          </cell>
          <cell r="E21">
            <v>1.627</v>
          </cell>
          <cell r="F21">
            <v>0.67379999999999995</v>
          </cell>
          <cell r="G21">
            <v>0.29060000000000002</v>
          </cell>
        </row>
        <row r="22">
          <cell r="A22" t="str">
            <v>03:Q2</v>
          </cell>
          <cell r="B22">
            <v>0.58899999999999997</v>
          </cell>
          <cell r="C22">
            <v>1.823</v>
          </cell>
          <cell r="D22">
            <v>2.2789999999999999</v>
          </cell>
          <cell r="E22">
            <v>1.657</v>
          </cell>
          <cell r="F22">
            <v>0.67920000000000003</v>
          </cell>
          <cell r="G22">
            <v>0.28989999999999999</v>
          </cell>
        </row>
        <row r="23">
          <cell r="A23" t="str">
            <v>03:Q3</v>
          </cell>
          <cell r="B23">
            <v>0.64139999999999997</v>
          </cell>
          <cell r="C23">
            <v>1.8680000000000001</v>
          </cell>
          <cell r="D23">
            <v>2.3090000000000002</v>
          </cell>
          <cell r="E23">
            <v>1.69</v>
          </cell>
          <cell r="F23">
            <v>0.68700000000000006</v>
          </cell>
          <cell r="G23">
            <v>0.28699999999999998</v>
          </cell>
        </row>
        <row r="24">
          <cell r="A24" t="str">
            <v>03:Q4</v>
          </cell>
          <cell r="B24">
            <v>0.70889999999999997</v>
          </cell>
          <cell r="C24">
            <v>2.04</v>
          </cell>
          <cell r="D24">
            <v>2.4649999999999999</v>
          </cell>
          <cell r="E24">
            <v>1.7649999999999999</v>
          </cell>
          <cell r="F24">
            <v>0.71150000000000002</v>
          </cell>
          <cell r="G24">
            <v>0.29299999999999998</v>
          </cell>
        </row>
        <row r="25">
          <cell r="A25" t="str">
            <v>04:Q1</v>
          </cell>
          <cell r="B25">
            <v>0.61939999999999995</v>
          </cell>
          <cell r="C25">
            <v>1.9870000000000001</v>
          </cell>
          <cell r="D25">
            <v>2.5539999999999998</v>
          </cell>
          <cell r="E25">
            <v>1.9370000000000001</v>
          </cell>
          <cell r="F25">
            <v>0.79759999999999998</v>
          </cell>
          <cell r="G25">
            <v>0.32929999999999998</v>
          </cell>
        </row>
        <row r="26">
          <cell r="A26" t="str">
            <v>04:Q2</v>
          </cell>
          <cell r="B26">
            <v>0.66839999999999999</v>
          </cell>
          <cell r="C26">
            <v>2.0430000000000001</v>
          </cell>
          <cell r="D26">
            <v>2.5920000000000001</v>
          </cell>
          <cell r="E26">
            <v>1.958</v>
          </cell>
          <cell r="F26">
            <v>0.81069999999999998</v>
          </cell>
          <cell r="G26">
            <v>0.32529999999999998</v>
          </cell>
        </row>
        <row r="27">
          <cell r="A27" t="str">
            <v>04:Q3</v>
          </cell>
          <cell r="B27">
            <v>0.73529999999999995</v>
          </cell>
          <cell r="C27">
            <v>2.1739999999999999</v>
          </cell>
          <cell r="D27">
            <v>2.71</v>
          </cell>
          <cell r="E27">
            <v>2.008</v>
          </cell>
          <cell r="F27">
            <v>0.83460000000000001</v>
          </cell>
          <cell r="G27">
            <v>0.32479999999999998</v>
          </cell>
        </row>
        <row r="28">
          <cell r="A28" t="str">
            <v>04:Q4</v>
          </cell>
          <cell r="B28">
            <v>0.8004</v>
          </cell>
          <cell r="C28">
            <v>2.2650000000000001</v>
          </cell>
          <cell r="D28">
            <v>2.7789999999999999</v>
          </cell>
          <cell r="E28">
            <v>2.0179999999999998</v>
          </cell>
          <cell r="F28">
            <v>0.83020000000000005</v>
          </cell>
          <cell r="G28">
            <v>0.31569999999999998</v>
          </cell>
        </row>
        <row r="29">
          <cell r="A29" t="str">
            <v>05:Q1</v>
          </cell>
          <cell r="B29">
            <v>0.70309999999999995</v>
          </cell>
          <cell r="C29">
            <v>2.1960000000000002</v>
          </cell>
          <cell r="D29">
            <v>2.831</v>
          </cell>
          <cell r="E29">
            <v>2.1840000000000002</v>
          </cell>
          <cell r="F29">
            <v>0.90580000000000005</v>
          </cell>
          <cell r="G29">
            <v>0.36280000000000001</v>
          </cell>
        </row>
        <row r="30">
          <cell r="A30" t="str">
            <v>05:Q2</v>
          </cell>
          <cell r="B30">
            <v>0.75129999999999997</v>
          </cell>
          <cell r="C30">
            <v>2.2909999999999999</v>
          </cell>
          <cell r="D30">
            <v>2.9020000000000001</v>
          </cell>
          <cell r="E30">
            <v>2.23</v>
          </cell>
          <cell r="F30">
            <v>0.92520000000000002</v>
          </cell>
          <cell r="G30">
            <v>0.36249999999999999</v>
          </cell>
        </row>
        <row r="31">
          <cell r="A31" t="str">
            <v>05:Q3</v>
          </cell>
          <cell r="B31">
            <v>0.82499999999999996</v>
          </cell>
          <cell r="C31">
            <v>2.3849999999999998</v>
          </cell>
          <cell r="D31">
            <v>2.9929999999999999</v>
          </cell>
          <cell r="E31">
            <v>2.282</v>
          </cell>
          <cell r="F31">
            <v>0.92769999999999997</v>
          </cell>
          <cell r="G31">
            <v>0.35599999999999998</v>
          </cell>
        </row>
        <row r="32">
          <cell r="A32" t="str">
            <v>05:Q4</v>
          </cell>
          <cell r="B32">
            <v>0.87839999999999996</v>
          </cell>
          <cell r="C32">
            <v>2.4620000000000002</v>
          </cell>
          <cell r="D32">
            <v>3.0489999999999999</v>
          </cell>
          <cell r="E32">
            <v>2.3140000000000001</v>
          </cell>
          <cell r="F32">
            <v>0.92520000000000002</v>
          </cell>
          <cell r="G32">
            <v>0.3493</v>
          </cell>
        </row>
        <row r="33">
          <cell r="A33" t="str">
            <v>06:Q1</v>
          </cell>
          <cell r="B33">
            <v>0.77910000000000001</v>
          </cell>
          <cell r="C33">
            <v>2.472</v>
          </cell>
          <cell r="D33">
            <v>3.1629999999999998</v>
          </cell>
          <cell r="E33">
            <v>2.4710000000000001</v>
          </cell>
          <cell r="F33">
            <v>1.07</v>
          </cell>
          <cell r="G33">
            <v>0.39929999999999999</v>
          </cell>
        </row>
        <row r="34">
          <cell r="A34" t="str">
            <v>06:Q2</v>
          </cell>
          <cell r="B34">
            <v>0.84089999999999998</v>
          </cell>
          <cell r="C34">
            <v>2.5840000000000001</v>
          </cell>
          <cell r="D34">
            <v>3.2629999999999999</v>
          </cell>
          <cell r="E34">
            <v>2.5289999999999999</v>
          </cell>
          <cell r="F34">
            <v>1.103</v>
          </cell>
          <cell r="G34">
            <v>0.40910000000000002</v>
          </cell>
        </row>
        <row r="35">
          <cell r="A35" t="str">
            <v>06:Q3</v>
          </cell>
          <cell r="B35">
            <v>0.91679999999999995</v>
          </cell>
          <cell r="C35">
            <v>2.6960000000000002</v>
          </cell>
          <cell r="D35">
            <v>3.3620000000000001</v>
          </cell>
          <cell r="E35">
            <v>2.5790000000000002</v>
          </cell>
          <cell r="F35">
            <v>1.1200000000000001</v>
          </cell>
          <cell r="G35">
            <v>0.40760000000000002</v>
          </cell>
        </row>
        <row r="36">
          <cell r="A36" t="str">
            <v>06:Q4</v>
          </cell>
          <cell r="B36">
            <v>0.97189999999999999</v>
          </cell>
          <cell r="C36">
            <v>2.7730000000000001</v>
          </cell>
          <cell r="D36">
            <v>3.4060000000000001</v>
          </cell>
          <cell r="E36">
            <v>2.6070000000000002</v>
          </cell>
          <cell r="F36">
            <v>1.1279999999999999</v>
          </cell>
          <cell r="G36">
            <v>0.40429999999999999</v>
          </cell>
        </row>
        <row r="37">
          <cell r="A37" t="str">
            <v>07:Q1</v>
          </cell>
          <cell r="B37">
            <v>0.84889999999999999</v>
          </cell>
          <cell r="C37">
            <v>2.7130000000000001</v>
          </cell>
          <cell r="D37">
            <v>3.4380000000000002</v>
          </cell>
          <cell r="E37">
            <v>2.7280000000000002</v>
          </cell>
          <cell r="F37">
            <v>1.294</v>
          </cell>
          <cell r="G37">
            <v>0.45350000000000001</v>
          </cell>
        </row>
        <row r="38">
          <cell r="A38" t="str">
            <v>07:Q2</v>
          </cell>
          <cell r="B38">
            <v>0.89759999999999995</v>
          </cell>
          <cell r="C38">
            <v>2.8</v>
          </cell>
          <cell r="D38">
            <v>3.544</v>
          </cell>
          <cell r="E38">
            <v>2.8</v>
          </cell>
          <cell r="F38">
            <v>1.327</v>
          </cell>
          <cell r="G38">
            <v>0.45910000000000001</v>
          </cell>
        </row>
        <row r="39">
          <cell r="A39" t="str">
            <v>07:Q3</v>
          </cell>
          <cell r="B39">
            <v>0.9405</v>
          </cell>
          <cell r="C39">
            <v>2.871</v>
          </cell>
          <cell r="D39">
            <v>3.6030000000000002</v>
          </cell>
          <cell r="E39">
            <v>2.83</v>
          </cell>
          <cell r="F39">
            <v>1.3149999999999999</v>
          </cell>
          <cell r="G39">
            <v>0.45879999999999999</v>
          </cell>
        </row>
        <row r="40">
          <cell r="A40" t="str">
            <v>07:Q4</v>
          </cell>
          <cell r="B40">
            <v>1.028</v>
          </cell>
          <cell r="C40">
            <v>2.9580000000000002</v>
          </cell>
          <cell r="D40">
            <v>3.681</v>
          </cell>
          <cell r="E40">
            <v>2.887</v>
          </cell>
          <cell r="F40">
            <v>1.331</v>
          </cell>
          <cell r="G40">
            <v>0.46100000000000002</v>
          </cell>
        </row>
        <row r="41">
          <cell r="A41" t="str">
            <v>08:Q1</v>
          </cell>
          <cell r="B41">
            <v>0.88480000000000003</v>
          </cell>
          <cell r="C41">
            <v>2.86</v>
          </cell>
          <cell r="D41">
            <v>3.72</v>
          </cell>
          <cell r="E41">
            <v>3.0310000000000001</v>
          </cell>
          <cell r="F41">
            <v>1.472</v>
          </cell>
          <cell r="G41">
            <v>0.54379999999999995</v>
          </cell>
        </row>
        <row r="42">
          <cell r="A42" t="str">
            <v>08:Q2</v>
          </cell>
          <cell r="B42">
            <v>0.92049999999999998</v>
          </cell>
          <cell r="C42">
            <v>2.883</v>
          </cell>
          <cell r="D42">
            <v>3.7330000000000001</v>
          </cell>
          <cell r="E42">
            <v>3.0379999999999998</v>
          </cell>
          <cell r="F42">
            <v>1.4730000000000001</v>
          </cell>
          <cell r="G42">
            <v>0.53979999999999995</v>
          </cell>
        </row>
        <row r="43">
          <cell r="A43" t="str">
            <v>08:Q3</v>
          </cell>
          <cell r="B43">
            <v>0.96319999999999995</v>
          </cell>
          <cell r="C43">
            <v>2.911</v>
          </cell>
          <cell r="D43">
            <v>3.75</v>
          </cell>
          <cell r="E43">
            <v>3.032</v>
          </cell>
          <cell r="F43">
            <v>1.468</v>
          </cell>
          <cell r="G43">
            <v>0.53259999999999996</v>
          </cell>
        </row>
        <row r="44">
          <cell r="A44" t="str">
            <v>08:Q4</v>
          </cell>
          <cell r="B44">
            <v>1.0009999999999999</v>
          </cell>
          <cell r="C44">
            <v>2.9220000000000002</v>
          </cell>
          <cell r="D44">
            <v>3.734</v>
          </cell>
          <cell r="E44">
            <v>3.0289999999999999</v>
          </cell>
          <cell r="F44">
            <v>1.456</v>
          </cell>
          <cell r="G44">
            <v>0.52229999999999999</v>
          </cell>
        </row>
        <row r="45">
          <cell r="A45" t="str">
            <v>09:Q1</v>
          </cell>
          <cell r="B45">
            <v>0.82120000000000004</v>
          </cell>
          <cell r="C45">
            <v>2.746</v>
          </cell>
          <cell r="D45">
            <v>3.6659999999999999</v>
          </cell>
          <cell r="E45">
            <v>3.0939999999999999</v>
          </cell>
          <cell r="F45">
            <v>1.6040000000000001</v>
          </cell>
          <cell r="G45">
            <v>0.58579999999999999</v>
          </cell>
        </row>
        <row r="46">
          <cell r="A46" t="str">
            <v>09:Q2</v>
          </cell>
          <cell r="B46">
            <v>0.83860000000000001</v>
          </cell>
          <cell r="C46">
            <v>2.722</v>
          </cell>
          <cell r="D46">
            <v>3.6259999999999999</v>
          </cell>
          <cell r="E46">
            <v>3.0609999999999999</v>
          </cell>
          <cell r="F46">
            <v>1.581</v>
          </cell>
          <cell r="G46">
            <v>0.56999999999999995</v>
          </cell>
        </row>
        <row r="47">
          <cell r="A47" t="str">
            <v>09:Q3</v>
          </cell>
          <cell r="B47">
            <v>0.86460000000000004</v>
          </cell>
          <cell r="C47">
            <v>2.7010000000000001</v>
          </cell>
          <cell r="D47">
            <v>3.5790000000000002</v>
          </cell>
          <cell r="E47">
            <v>3.016</v>
          </cell>
          <cell r="F47">
            <v>1.55</v>
          </cell>
          <cell r="G47">
            <v>0.55269999999999997</v>
          </cell>
        </row>
        <row r="48">
          <cell r="A48" t="str">
            <v>09:Q4</v>
          </cell>
          <cell r="B48">
            <v>0.89570000000000005</v>
          </cell>
          <cell r="C48">
            <v>2.6869999999999998</v>
          </cell>
          <cell r="D48">
            <v>3.528</v>
          </cell>
          <cell r="E48">
            <v>2.968</v>
          </cell>
          <cell r="F48">
            <v>1.5269999999999999</v>
          </cell>
          <cell r="G48">
            <v>0.54459999999999997</v>
          </cell>
        </row>
        <row r="49">
          <cell r="A49" t="str">
            <v>10:Q1</v>
          </cell>
          <cell r="B49">
            <v>0.77029999999999998</v>
          </cell>
          <cell r="C49">
            <v>2.5209999999999999</v>
          </cell>
          <cell r="D49">
            <v>3.5</v>
          </cell>
          <cell r="E49">
            <v>3.0369999999999999</v>
          </cell>
          <cell r="F49">
            <v>1.667</v>
          </cell>
          <cell r="G49">
            <v>0.60870000000000002</v>
          </cell>
        </row>
        <row r="50">
          <cell r="A50" t="str">
            <v>10:Q2</v>
          </cell>
          <cell r="B50">
            <v>0.78969999999999996</v>
          </cell>
          <cell r="C50">
            <v>2.5070000000000001</v>
          </cell>
          <cell r="D50">
            <v>3.4319999999999999</v>
          </cell>
          <cell r="E50">
            <v>2.9790000000000001</v>
          </cell>
          <cell r="F50">
            <v>1.6279999999999999</v>
          </cell>
          <cell r="G50">
            <v>0.59489999999999998</v>
          </cell>
        </row>
        <row r="51">
          <cell r="A51" t="str">
            <v>10:Q3</v>
          </cell>
          <cell r="B51">
            <v>0.82669999999999999</v>
          </cell>
          <cell r="C51">
            <v>2.4990000000000001</v>
          </cell>
          <cell r="D51">
            <v>3.3849999999999998</v>
          </cell>
          <cell r="E51">
            <v>2.94</v>
          </cell>
          <cell r="F51">
            <v>1.607</v>
          </cell>
          <cell r="G51">
            <v>0.57909999999999995</v>
          </cell>
        </row>
        <row r="52">
          <cell r="A52" t="str">
            <v>10:Q4</v>
          </cell>
          <cell r="B52">
            <v>0.85840000000000005</v>
          </cell>
          <cell r="C52">
            <v>2.4809999999999999</v>
          </cell>
          <cell r="D52">
            <v>3.3180000000000001</v>
          </cell>
          <cell r="E52">
            <v>2.895</v>
          </cell>
          <cell r="F52">
            <v>1.5780000000000001</v>
          </cell>
          <cell r="G52">
            <v>0.56989999999999996</v>
          </cell>
        </row>
        <row r="53">
          <cell r="A53" t="str">
            <v>11:Q1</v>
          </cell>
          <cell r="B53">
            <v>0.72170000000000001</v>
          </cell>
          <cell r="C53">
            <v>2.3620000000000001</v>
          </cell>
          <cell r="D53">
            <v>3.32</v>
          </cell>
          <cell r="E53">
            <v>2.9990000000000001</v>
          </cell>
          <cell r="F53">
            <v>1.706</v>
          </cell>
          <cell r="G53">
            <v>0.63319999999999999</v>
          </cell>
        </row>
        <row r="54">
          <cell r="A54" t="str">
            <v>11:Q2</v>
          </cell>
          <cell r="B54">
            <v>0.74319999999999997</v>
          </cell>
          <cell r="C54">
            <v>2.3740000000000001</v>
          </cell>
          <cell r="D54">
            <v>3.3149999999999999</v>
          </cell>
          <cell r="E54">
            <v>2.984</v>
          </cell>
          <cell r="F54">
            <v>1.6839999999999999</v>
          </cell>
          <cell r="G54">
            <v>0.61719999999999997</v>
          </cell>
        </row>
        <row r="55">
          <cell r="A55" t="str">
            <v>11:Q3</v>
          </cell>
          <cell r="B55">
            <v>0.77700000000000002</v>
          </cell>
          <cell r="C55">
            <v>2.3740000000000001</v>
          </cell>
          <cell r="D55">
            <v>3.2869999999999999</v>
          </cell>
          <cell r="E55">
            <v>2.9510000000000001</v>
          </cell>
          <cell r="F55">
            <v>1.651</v>
          </cell>
          <cell r="G55">
            <v>0.61029999999999995</v>
          </cell>
        </row>
        <row r="56">
          <cell r="A56" t="str">
            <v>11:Q4</v>
          </cell>
          <cell r="B56">
            <v>0.80530000000000002</v>
          </cell>
          <cell r="C56">
            <v>2.3769999999999998</v>
          </cell>
          <cell r="D56">
            <v>3.234</v>
          </cell>
          <cell r="E56">
            <v>2.8969999999999998</v>
          </cell>
          <cell r="F56">
            <v>1.6140000000000001</v>
          </cell>
          <cell r="G56">
            <v>0.59609999999999996</v>
          </cell>
        </row>
        <row r="57">
          <cell r="A57" t="str">
            <v>12:Q1</v>
          </cell>
          <cell r="B57">
            <v>0.65549999999999997</v>
          </cell>
          <cell r="C57">
            <v>2.2389999999999999</v>
          </cell>
          <cell r="D57">
            <v>3.1579999999999999</v>
          </cell>
          <cell r="E57">
            <v>2.9180000000000001</v>
          </cell>
          <cell r="F57">
            <v>1.728</v>
          </cell>
          <cell r="G57">
            <v>0.68259999999999998</v>
          </cell>
        </row>
        <row r="58">
          <cell r="A58" t="str">
            <v>12:Q2</v>
          </cell>
          <cell r="B58">
            <v>0.7016</v>
          </cell>
          <cell r="C58">
            <v>2.2570000000000001</v>
          </cell>
          <cell r="D58">
            <v>3.141</v>
          </cell>
          <cell r="E58">
            <v>2.8959999999999999</v>
          </cell>
          <cell r="F58">
            <v>1.704</v>
          </cell>
          <cell r="G58">
            <v>0.66949999999999998</v>
          </cell>
        </row>
        <row r="59">
          <cell r="A59" t="str">
            <v>12:Q3</v>
          </cell>
          <cell r="B59">
            <v>0.74380000000000002</v>
          </cell>
          <cell r="C59">
            <v>2.2589999999999999</v>
          </cell>
          <cell r="D59">
            <v>3.109</v>
          </cell>
          <cell r="E59">
            <v>2.8479999999999999</v>
          </cell>
          <cell r="F59">
            <v>1.69</v>
          </cell>
          <cell r="G59">
            <v>0.6522</v>
          </cell>
        </row>
        <row r="60">
          <cell r="A60" t="str">
            <v>12:Q4</v>
          </cell>
          <cell r="B60">
            <v>0.78010000000000002</v>
          </cell>
          <cell r="C60">
            <v>2.2869999999999999</v>
          </cell>
          <cell r="D60">
            <v>3.1230000000000002</v>
          </cell>
          <cell r="E60">
            <v>2.835</v>
          </cell>
          <cell r="F60">
            <v>1.67</v>
          </cell>
          <cell r="G60">
            <v>0.63890000000000002</v>
          </cell>
        </row>
        <row r="61">
          <cell r="A61" t="str">
            <v>13:Q1</v>
          </cell>
          <cell r="B61">
            <v>0.65939999999999999</v>
          </cell>
          <cell r="C61">
            <v>2.1669999999999998</v>
          </cell>
          <cell r="D61">
            <v>3.036</v>
          </cell>
          <cell r="E61">
            <v>2.8740000000000001</v>
          </cell>
          <cell r="F61">
            <v>1.76</v>
          </cell>
          <cell r="G61">
            <v>0.72319999999999995</v>
          </cell>
        </row>
        <row r="62">
          <cell r="A62" t="str">
            <v>13:Q2</v>
          </cell>
          <cell r="B62">
            <v>0.68879999999999997</v>
          </cell>
          <cell r="C62">
            <v>2.1829999999999998</v>
          </cell>
          <cell r="D62">
            <v>3.0019999999999998</v>
          </cell>
          <cell r="E62">
            <v>2.8340000000000001</v>
          </cell>
          <cell r="F62">
            <v>1.728</v>
          </cell>
          <cell r="G62">
            <v>0.70599999999999996</v>
          </cell>
        </row>
        <row r="63">
          <cell r="A63" t="str">
            <v>13:Q3</v>
          </cell>
          <cell r="B63">
            <v>0.75670000000000004</v>
          </cell>
          <cell r="C63">
            <v>2.2290000000000001</v>
          </cell>
          <cell r="D63">
            <v>3.028</v>
          </cell>
          <cell r="E63">
            <v>2.8439999999999999</v>
          </cell>
          <cell r="F63">
            <v>1.714</v>
          </cell>
          <cell r="G63">
            <v>0.69579999999999997</v>
          </cell>
        </row>
        <row r="64">
          <cell r="A64" t="str">
            <v>13:Q4</v>
          </cell>
          <cell r="B64">
            <v>0.82099999999999995</v>
          </cell>
          <cell r="C64">
            <v>2.3119999999999998</v>
          </cell>
          <cell r="D64">
            <v>3.0920000000000001</v>
          </cell>
          <cell r="E64">
            <v>2.871</v>
          </cell>
          <cell r="F64">
            <v>1.72</v>
          </cell>
          <cell r="G64">
            <v>0.69</v>
          </cell>
        </row>
        <row r="65">
          <cell r="A65" t="str">
            <v>14:Q1</v>
          </cell>
          <cell r="B65">
            <v>0.71419999999999995</v>
          </cell>
          <cell r="C65">
            <v>2.2480000000000002</v>
          </cell>
          <cell r="D65">
            <v>3.0670000000000002</v>
          </cell>
          <cell r="E65">
            <v>2.972</v>
          </cell>
          <cell r="F65">
            <v>1.859</v>
          </cell>
          <cell r="G65">
            <v>0.77529999999999999</v>
          </cell>
        </row>
        <row r="66">
          <cell r="A66" t="str">
            <v>14:Q2</v>
          </cell>
          <cell r="B66">
            <v>0.749</v>
          </cell>
          <cell r="C66">
            <v>2.274</v>
          </cell>
          <cell r="D66">
            <v>3.0670000000000002</v>
          </cell>
          <cell r="E66">
            <v>2.944</v>
          </cell>
          <cell r="F66">
            <v>1.827</v>
          </cell>
          <cell r="G66">
            <v>0.75819999999999999</v>
          </cell>
        </row>
        <row r="67">
          <cell r="A67" t="str">
            <v>14:Q3</v>
          </cell>
          <cell r="B67">
            <v>0.79120000000000001</v>
          </cell>
          <cell r="C67">
            <v>2.3279999999999998</v>
          </cell>
          <cell r="D67">
            <v>3.089</v>
          </cell>
          <cell r="E67">
            <v>2.9329999999999998</v>
          </cell>
          <cell r="F67">
            <v>1.8089999999999999</v>
          </cell>
          <cell r="G67">
            <v>0.74680000000000002</v>
          </cell>
        </row>
        <row r="68">
          <cell r="A68" t="str">
            <v>14:Q4</v>
          </cell>
          <cell r="B68">
            <v>0.84560000000000002</v>
          </cell>
          <cell r="C68">
            <v>2.3719999999999999</v>
          </cell>
          <cell r="D68">
            <v>3.11</v>
          </cell>
          <cell r="E68">
            <v>2.9409999999999998</v>
          </cell>
          <cell r="F68">
            <v>1.8080000000000001</v>
          </cell>
          <cell r="G68">
            <v>0.73760000000000003</v>
          </cell>
        </row>
        <row r="69">
          <cell r="A69" t="str">
            <v>15:Q1</v>
          </cell>
          <cell r="B69">
            <v>0.72689999999999999</v>
          </cell>
          <cell r="C69">
            <v>2.2909999999999999</v>
          </cell>
          <cell r="D69">
            <v>3.0619999999999998</v>
          </cell>
          <cell r="E69">
            <v>2.9849999999999999</v>
          </cell>
          <cell r="F69">
            <v>1.9450000000000001</v>
          </cell>
          <cell r="G69">
            <v>0.82799999999999996</v>
          </cell>
        </row>
        <row r="70">
          <cell r="A70" t="str">
            <v>15:Q2</v>
          </cell>
          <cell r="B70">
            <v>0.76319999999999999</v>
          </cell>
          <cell r="C70">
            <v>2.3050000000000002</v>
          </cell>
          <cell r="D70">
            <v>3.0550000000000002</v>
          </cell>
          <cell r="E70">
            <v>2.9660000000000002</v>
          </cell>
          <cell r="F70">
            <v>1.919</v>
          </cell>
          <cell r="G70">
            <v>0.80759999999999998</v>
          </cell>
        </row>
        <row r="71">
          <cell r="A71" t="str">
            <v>15:Q3</v>
          </cell>
          <cell r="B71">
            <v>0.82520000000000004</v>
          </cell>
          <cell r="C71">
            <v>2.391</v>
          </cell>
          <cell r="D71">
            <v>3.109</v>
          </cell>
          <cell r="E71">
            <v>2.99</v>
          </cell>
          <cell r="F71">
            <v>1.905</v>
          </cell>
          <cell r="G71">
            <v>0.79830000000000001</v>
          </cell>
        </row>
        <row r="72">
          <cell r="A72" t="str">
            <v>15:Q4</v>
          </cell>
          <cell r="B72">
            <v>0.88090000000000002</v>
          </cell>
          <cell r="C72">
            <v>2.452</v>
          </cell>
          <cell r="D72">
            <v>3.1139999999999999</v>
          </cell>
          <cell r="E72">
            <v>2.968</v>
          </cell>
          <cell r="F72">
            <v>1.8839999999999999</v>
          </cell>
          <cell r="G72">
            <v>0.78120000000000001</v>
          </cell>
        </row>
        <row r="73">
          <cell r="A73" t="str">
            <v>16:Q1</v>
          </cell>
          <cell r="B73">
            <v>0.75849999999999995</v>
          </cell>
          <cell r="C73">
            <v>2.3860000000000001</v>
          </cell>
          <cell r="D73">
            <v>3.1230000000000002</v>
          </cell>
          <cell r="E73">
            <v>3.0539999999999998</v>
          </cell>
          <cell r="F73">
            <v>1.994</v>
          </cell>
          <cell r="G73">
            <v>0.90129999999999999</v>
          </cell>
        </row>
        <row r="74">
          <cell r="A74" t="str">
            <v>16:Q2</v>
          </cell>
          <cell r="B74">
            <v>0.79920000000000002</v>
          </cell>
          <cell r="C74">
            <v>2.4220000000000002</v>
          </cell>
          <cell r="D74">
            <v>3.141</v>
          </cell>
          <cell r="E74">
            <v>3.036</v>
          </cell>
          <cell r="F74">
            <v>1.9670000000000001</v>
          </cell>
          <cell r="G74">
            <v>0.88959999999999995</v>
          </cell>
        </row>
        <row r="75">
          <cell r="A75" t="str">
            <v>16:Q3</v>
          </cell>
          <cell r="B75">
            <v>0.86070000000000002</v>
          </cell>
          <cell r="C75">
            <v>2.484</v>
          </cell>
          <cell r="D75">
            <v>3.1509999999999998</v>
          </cell>
          <cell r="E75">
            <v>3.0289999999999999</v>
          </cell>
          <cell r="F75">
            <v>1.9379999999999999</v>
          </cell>
          <cell r="G75">
            <v>0.87749999999999995</v>
          </cell>
        </row>
        <row r="76">
          <cell r="A76" t="str">
            <v>16:Q4</v>
          </cell>
          <cell r="B76">
            <v>0.92820000000000003</v>
          </cell>
          <cell r="C76">
            <v>2.5670000000000002</v>
          </cell>
          <cell r="D76">
            <v>3.2210000000000001</v>
          </cell>
          <cell r="E76">
            <v>3.03</v>
          </cell>
          <cell r="F76">
            <v>1.9510000000000001</v>
          </cell>
          <cell r="G76">
            <v>0.86899999999999999</v>
          </cell>
        </row>
        <row r="77">
          <cell r="A77" t="str">
            <v>17:Q1</v>
          </cell>
          <cell r="B77">
            <v>0.81359999999999999</v>
          </cell>
          <cell r="C77">
            <v>2.5259999999999998</v>
          </cell>
          <cell r="D77">
            <v>3.2170000000000001</v>
          </cell>
          <cell r="E77">
            <v>3.1150000000000002</v>
          </cell>
          <cell r="F77">
            <v>2.0379999999999998</v>
          </cell>
          <cell r="G77">
            <v>1.0089999999999999</v>
          </cell>
        </row>
        <row r="78">
          <cell r="A78" t="str">
            <v>17:Q2</v>
          </cell>
          <cell r="B78">
            <v>0.85909999999999997</v>
          </cell>
          <cell r="C78">
            <v>2.5840000000000001</v>
          </cell>
          <cell r="D78">
            <v>3.2440000000000002</v>
          </cell>
          <cell r="E78">
            <v>3.121</v>
          </cell>
          <cell r="F78">
            <v>2.0230000000000001</v>
          </cell>
          <cell r="G78">
            <v>0.99719999999999998</v>
          </cell>
        </row>
        <row r="79">
          <cell r="A79" t="str">
            <v>17:Q3</v>
          </cell>
          <cell r="B79">
            <v>0.92249999999999999</v>
          </cell>
          <cell r="C79">
            <v>2.657</v>
          </cell>
          <cell r="D79">
            <v>3.278</v>
          </cell>
          <cell r="E79">
            <v>3.1150000000000002</v>
          </cell>
          <cell r="F79">
            <v>1.9990000000000001</v>
          </cell>
          <cell r="G79">
            <v>0.97189999999999999</v>
          </cell>
        </row>
        <row r="80">
          <cell r="A80" t="str">
            <v>17:Q4</v>
          </cell>
          <cell r="B80">
            <v>0.98729999999999996</v>
          </cell>
          <cell r="C80">
            <v>2.7490000000000001</v>
          </cell>
          <cell r="D80">
            <v>3.3140000000000001</v>
          </cell>
          <cell r="E80">
            <v>3.133</v>
          </cell>
          <cell r="F80">
            <v>1.994</v>
          </cell>
          <cell r="G80">
            <v>0.95989999999999998</v>
          </cell>
        </row>
        <row r="81">
          <cell r="A81" t="str">
            <v>18:Q1</v>
          </cell>
          <cell r="B81">
            <v>0.84550000000000003</v>
          </cell>
          <cell r="C81">
            <v>2.6539999999999999</v>
          </cell>
          <cell r="D81">
            <v>3.3460000000000001</v>
          </cell>
          <cell r="E81">
            <v>3.1779999999999999</v>
          </cell>
          <cell r="F81">
            <v>2.0950000000000002</v>
          </cell>
          <cell r="G81">
            <v>1.0880000000000001</v>
          </cell>
        </row>
        <row r="82">
          <cell r="A82" t="str">
            <v>18:Q2</v>
          </cell>
          <cell r="B82">
            <v>0.88680000000000003</v>
          </cell>
          <cell r="C82">
            <v>2.7120000000000002</v>
          </cell>
          <cell r="D82">
            <v>3.3650000000000002</v>
          </cell>
          <cell r="E82">
            <v>3.1709999999999998</v>
          </cell>
          <cell r="F82">
            <v>2.081</v>
          </cell>
          <cell r="G82">
            <v>1.069</v>
          </cell>
        </row>
        <row r="83">
          <cell r="A83" t="str">
            <v>18:Q3</v>
          </cell>
          <cell r="B83">
            <v>0.95889999999999997</v>
          </cell>
          <cell r="C83">
            <v>2.8119999999999998</v>
          </cell>
          <cell r="D83">
            <v>3.411</v>
          </cell>
          <cell r="E83">
            <v>3.1869999999999998</v>
          </cell>
          <cell r="F83">
            <v>2.081</v>
          </cell>
          <cell r="G83">
            <v>1.054</v>
          </cell>
        </row>
        <row r="84">
          <cell r="A84" t="str">
            <v>18:Q4</v>
          </cell>
          <cell r="B84">
            <v>1.0049999999999999</v>
          </cell>
          <cell r="C84">
            <v>2.8580000000000001</v>
          </cell>
          <cell r="D84">
            <v>3.4260000000000002</v>
          </cell>
          <cell r="E84">
            <v>3.1549999999999998</v>
          </cell>
          <cell r="F84">
            <v>2.0489999999999999</v>
          </cell>
          <cell r="G84">
            <v>1.044</v>
          </cell>
        </row>
        <row r="85">
          <cell r="A85" t="str">
            <v>19:Q1</v>
          </cell>
          <cell r="B85">
            <v>0.86419999999999997</v>
          </cell>
          <cell r="C85">
            <v>2.7989999999999999</v>
          </cell>
          <cell r="D85">
            <v>3.4279999999999999</v>
          </cell>
          <cell r="E85">
            <v>3.23</v>
          </cell>
          <cell r="F85">
            <v>2.165</v>
          </cell>
          <cell r="G85">
            <v>1.1739999999999999</v>
          </cell>
        </row>
        <row r="86">
          <cell r="A86" t="str">
            <v>19:Q2</v>
          </cell>
          <cell r="B86">
            <v>0.91600000000000004</v>
          </cell>
          <cell r="C86">
            <v>2.875</v>
          </cell>
          <cell r="D86">
            <v>3.4910000000000001</v>
          </cell>
          <cell r="E86">
            <v>3.2509999999999999</v>
          </cell>
          <cell r="F86">
            <v>2.157</v>
          </cell>
          <cell r="G86">
            <v>1.163</v>
          </cell>
        </row>
        <row r="87">
          <cell r="A87" t="str">
            <v>19:Q3</v>
          </cell>
          <cell r="B87">
            <v>0.96899999999999997</v>
          </cell>
          <cell r="C87">
            <v>2.9249999999999998</v>
          </cell>
          <cell r="D87">
            <v>3.5059999999999998</v>
          </cell>
          <cell r="E87">
            <v>3.2549999999999999</v>
          </cell>
          <cell r="F87">
            <v>2.14</v>
          </cell>
          <cell r="G87">
            <v>1.1459999999999999</v>
          </cell>
        </row>
        <row r="88">
          <cell r="A88" t="str">
            <v>19:Q4</v>
          </cell>
          <cell r="B88">
            <v>1.0429999999999999</v>
          </cell>
          <cell r="C88">
            <v>3.0030000000000001</v>
          </cell>
          <cell r="D88">
            <v>3.5609999999999999</v>
          </cell>
          <cell r="E88">
            <v>3.26</v>
          </cell>
          <cell r="F88">
            <v>2.137</v>
          </cell>
          <cell r="G88">
            <v>1.133</v>
          </cell>
        </row>
        <row r="89">
          <cell r="A89" t="str">
            <v>20:Q1</v>
          </cell>
          <cell r="B89">
            <v>0.89690000000000003</v>
          </cell>
          <cell r="C89">
            <v>2.9340000000000002</v>
          </cell>
          <cell r="D89">
            <v>3.577</v>
          </cell>
          <cell r="E89">
            <v>3.3719999999999999</v>
          </cell>
          <cell r="F89">
            <v>2.2410000000000001</v>
          </cell>
          <cell r="G89">
            <v>1.27</v>
          </cell>
        </row>
        <row r="90">
          <cell r="A90" t="str">
            <v>20:Q2</v>
          </cell>
          <cell r="B90">
            <v>0.93400000000000005</v>
          </cell>
          <cell r="C90">
            <v>2.9569999999999999</v>
          </cell>
          <cell r="D90">
            <v>3.5660000000000003</v>
          </cell>
          <cell r="E90">
            <v>3.327</v>
          </cell>
          <cell r="F90">
            <v>2.1970000000000001</v>
          </cell>
          <cell r="G90">
            <v>1.234</v>
          </cell>
        </row>
        <row r="91">
          <cell r="A91" t="str">
            <v>20:Q3</v>
          </cell>
          <cell r="B91">
            <v>1.0190000000000001</v>
          </cell>
          <cell r="C91">
            <v>3.04</v>
          </cell>
          <cell r="D91">
            <v>3.5920000000000001</v>
          </cell>
          <cell r="E91">
            <v>3.3180000000000001</v>
          </cell>
          <cell r="F91">
            <v>2.1619999999999999</v>
          </cell>
          <cell r="G91">
            <v>1.2090000000000001</v>
          </cell>
        </row>
        <row r="92">
          <cell r="A92" t="str">
            <v>20:Q4</v>
          </cell>
          <cell r="B92">
            <v>1.081</v>
          </cell>
          <cell r="C92">
            <v>3.1489999999999996</v>
          </cell>
          <cell r="D92">
            <v>3.6319999999999997</v>
          </cell>
          <cell r="E92">
            <v>3.3380000000000001</v>
          </cell>
          <cell r="F92">
            <v>2.1480000000000001</v>
          </cell>
          <cell r="G92">
            <v>1.1840000000000002</v>
          </cell>
        </row>
        <row r="93">
          <cell r="A93" t="str">
            <v>21:Q1</v>
          </cell>
          <cell r="B93">
            <v>0.94830000000000003</v>
          </cell>
          <cell r="C93">
            <v>3.0529999999999999</v>
          </cell>
          <cell r="D93">
            <v>3.653</v>
          </cell>
          <cell r="E93">
            <v>3.39</v>
          </cell>
          <cell r="F93">
            <v>2.2789999999999999</v>
          </cell>
          <cell r="G93">
            <v>1.304</v>
          </cell>
        </row>
        <row r="94">
          <cell r="A94" t="str">
            <v>21:Q2</v>
          </cell>
          <cell r="B94">
            <v>1.026</v>
          </cell>
          <cell r="C94">
            <v>3.1840000000000002</v>
          </cell>
          <cell r="D94">
            <v>3.7410000000000001</v>
          </cell>
          <cell r="E94">
            <v>3.4239999999999999</v>
          </cell>
          <cell r="F94">
            <v>2.286</v>
          </cell>
          <cell r="G94">
            <v>1.2849999999999999</v>
          </cell>
        </row>
        <row r="95">
          <cell r="A95" t="str">
            <v>21:Q3</v>
          </cell>
          <cell r="B95">
            <v>1.1120000000000001</v>
          </cell>
          <cell r="C95">
            <v>3.306</v>
          </cell>
          <cell r="D95">
            <v>3.819</v>
          </cell>
          <cell r="E95">
            <v>3.45</v>
          </cell>
          <cell r="F95">
            <v>2.274</v>
          </cell>
          <cell r="G95">
            <v>1.27</v>
          </cell>
        </row>
        <row r="96">
          <cell r="A96" t="str">
            <v>21:Q4</v>
          </cell>
          <cell r="B96">
            <v>1.1910000000000001</v>
          </cell>
          <cell r="C96">
            <v>3.4569999999999999</v>
          </cell>
          <cell r="D96">
            <v>3.9</v>
          </cell>
          <cell r="E96">
            <v>3.4710000000000001</v>
          </cell>
          <cell r="F96">
            <v>2.2770000000000001</v>
          </cell>
          <cell r="G96">
            <v>1.2689999999999999</v>
          </cell>
        </row>
        <row r="97">
          <cell r="A97" t="str">
            <v>22:Q1</v>
          </cell>
          <cell r="B97">
            <v>1.02</v>
          </cell>
          <cell r="C97">
            <v>3.42</v>
          </cell>
          <cell r="D97">
            <v>4</v>
          </cell>
          <cell r="E97">
            <v>3.57</v>
          </cell>
          <cell r="F97">
            <v>2.4</v>
          </cell>
          <cell r="G97">
            <v>1.42</v>
          </cell>
        </row>
        <row r="98">
          <cell r="A98" t="str">
            <v>22:Q2</v>
          </cell>
          <cell r="B98">
            <v>1.0940000000000001</v>
          </cell>
          <cell r="C98">
            <v>3.552</v>
          </cell>
          <cell r="D98">
            <v>4.109</v>
          </cell>
          <cell r="E98">
            <v>3.6070000000000002</v>
          </cell>
          <cell r="F98">
            <v>2.379</v>
          </cell>
          <cell r="G98">
            <v>1.403</v>
          </cell>
        </row>
        <row r="99">
          <cell r="A99" t="str">
            <v>22:Q3</v>
          </cell>
          <cell r="B99">
            <v>1.179</v>
          </cell>
          <cell r="C99">
            <v>3.6869999999999998</v>
          </cell>
          <cell r="D99">
            <v>4.2060000000000004</v>
          </cell>
          <cell r="E99">
            <v>3.6240000000000001</v>
          </cell>
          <cell r="F99">
            <v>2.3820000000000001</v>
          </cell>
          <cell r="G99">
            <v>1.385</v>
          </cell>
        </row>
        <row r="100">
          <cell r="A100" t="str">
            <v>22:Q4</v>
          </cell>
          <cell r="B100">
            <v>1.2669999999999999</v>
          </cell>
          <cell r="C100">
            <v>3.8239999999999998</v>
          </cell>
          <cell r="D100">
            <v>4.3019999999999996</v>
          </cell>
          <cell r="E100">
            <v>3.6949999999999998</v>
          </cell>
          <cell r="F100">
            <v>2.4180000000000001</v>
          </cell>
          <cell r="G100">
            <v>1.38</v>
          </cell>
        </row>
        <row r="101">
          <cell r="A101" t="str">
            <v>23:Q1</v>
          </cell>
          <cell r="B101">
            <v>1.0820000000000001</v>
          </cell>
          <cell r="C101">
            <v>3.6890000000000001</v>
          </cell>
          <cell r="D101">
            <v>4.3849999999999998</v>
          </cell>
          <cell r="E101">
            <v>3.8010000000000002</v>
          </cell>
          <cell r="F101">
            <v>2.5619999999999998</v>
          </cell>
          <cell r="G101">
            <v>1.516</v>
          </cell>
        </row>
        <row r="102">
          <cell r="A102" t="str">
            <v>23:Q2</v>
          </cell>
          <cell r="B102">
            <v>1.1279999999999999</v>
          </cell>
          <cell r="C102">
            <v>3.746</v>
          </cell>
          <cell r="D102">
            <v>4.3840000000000003</v>
          </cell>
          <cell r="E102">
            <v>3.7770000000000001</v>
          </cell>
          <cell r="F102">
            <v>2.5350000000000001</v>
          </cell>
          <cell r="G102">
            <v>1.4810000000000001</v>
          </cell>
        </row>
        <row r="103">
          <cell r="A103" t="str">
            <v>23:Q3</v>
          </cell>
          <cell r="B103">
            <v>1.19</v>
          </cell>
          <cell r="C103">
            <v>3.86</v>
          </cell>
          <cell r="D103">
            <v>4.4400000000000004</v>
          </cell>
          <cell r="E103">
            <v>3.79</v>
          </cell>
          <cell r="F103">
            <v>2.5299999999999998</v>
          </cell>
          <cell r="G103">
            <v>1.47</v>
          </cell>
        </row>
        <row r="104">
          <cell r="A104" t="str">
            <v>23:Q4</v>
          </cell>
          <cell r="B104">
            <v>1.27</v>
          </cell>
          <cell r="C104">
            <v>3.94</v>
          </cell>
          <cell r="D104">
            <v>4.49</v>
          </cell>
          <cell r="E104">
            <v>3.8000000000000003</v>
          </cell>
          <cell r="F104">
            <v>2.5300000000000002</v>
          </cell>
          <cell r="G104">
            <v>1.47</v>
          </cell>
        </row>
        <row r="105">
          <cell r="A105" t="str">
            <v>24:Q1</v>
          </cell>
          <cell r="B105">
            <v>1.0620000000000001</v>
          </cell>
          <cell r="C105">
            <v>3.7930000000000001</v>
          </cell>
          <cell r="D105">
            <v>4.5999999999999996</v>
          </cell>
          <cell r="E105">
            <v>3.9119999999999999</v>
          </cell>
          <cell r="F105">
            <v>2.65</v>
          </cell>
          <cell r="G105">
            <v>1.655</v>
          </cell>
        </row>
        <row r="106">
          <cell r="A106" t="str">
            <v>24:Q2</v>
          </cell>
          <cell r="B106">
            <v>1.1180000000000001</v>
          </cell>
          <cell r="C106">
            <v>3.8679999999999999</v>
          </cell>
          <cell r="D106">
            <v>4.6139999999999999</v>
          </cell>
          <cell r="E106">
            <v>3.9140000000000001</v>
          </cell>
          <cell r="F106">
            <v>2.6379999999999999</v>
          </cell>
          <cell r="G106">
            <v>1.633</v>
          </cell>
        </row>
        <row r="107">
          <cell r="A107" t="str">
            <v>24:Q3</v>
          </cell>
          <cell r="B107">
            <v>1.18</v>
          </cell>
          <cell r="C107">
            <v>3.95</v>
          </cell>
          <cell r="D107">
            <v>4.6559999999999997</v>
          </cell>
          <cell r="E107">
            <v>3.9169999999999998</v>
          </cell>
          <cell r="F107">
            <v>2.62</v>
          </cell>
          <cell r="G107">
            <v>1.5960000000000001</v>
          </cell>
        </row>
        <row r="108">
          <cell r="A108" t="str">
            <v>24:Q4</v>
          </cell>
          <cell r="B108">
            <v>1.2370000000000001</v>
          </cell>
          <cell r="C108">
            <v>4.0199999999999996</v>
          </cell>
          <cell r="D108">
            <v>4.6669999999999998</v>
          </cell>
          <cell r="E108">
            <v>3.9289999999999998</v>
          </cell>
          <cell r="F108">
            <v>2.59</v>
          </cell>
          <cell r="G108">
            <v>1.5669999999999999</v>
          </cell>
        </row>
        <row r="109">
          <cell r="A109" t="str">
            <v>25:Q1</v>
          </cell>
          <cell r="B109">
            <v>1.0469999999999999</v>
          </cell>
          <cell r="C109">
            <v>3.89</v>
          </cell>
          <cell r="D109">
            <v>4.7610000000000001</v>
          </cell>
          <cell r="E109">
            <v>4.016</v>
          </cell>
          <cell r="F109">
            <v>2.7290000000000001</v>
          </cell>
          <cell r="G109">
            <v>1.7330000000000001</v>
          </cell>
        </row>
        <row r="110">
          <cell r="A110" t="str">
            <v>25:Q2</v>
          </cell>
          <cell r="B110">
            <v>1.105</v>
          </cell>
          <cell r="C110">
            <v>3.9620000000000002</v>
          </cell>
          <cell r="D110">
            <v>4.8049999999999997</v>
          </cell>
          <cell r="E110">
            <v>4.0330000000000004</v>
          </cell>
          <cell r="F110">
            <v>2.7250000000000001</v>
          </cell>
          <cell r="G110">
            <v>1.7290000000000001</v>
          </cell>
        </row>
        <row r="111">
          <cell r="A111" t="str">
            <v>25:Q3</v>
          </cell>
          <cell r="B111">
            <v>1.177</v>
          </cell>
          <cell r="C111">
            <v>4.0679999999999996</v>
          </cell>
          <cell r="D111">
            <v>4.8440000000000003</v>
          </cell>
          <cell r="E111">
            <v>4.048</v>
          </cell>
          <cell r="F111">
            <v>2.698</v>
          </cell>
          <cell r="G111">
            <v>1.7050000000000001</v>
          </cell>
        </row>
        <row r="112">
          <cell r="A112" t="str">
            <v>25:Q4</v>
          </cell>
          <cell r="B112">
            <v>1.2430000000000001</v>
          </cell>
          <cell r="C112">
            <v>4.1470000000000002</v>
          </cell>
          <cell r="D112">
            <v>4.8780000000000001</v>
          </cell>
          <cell r="E112">
            <v>4.0640000000000001</v>
          </cell>
          <cell r="F112">
            <v>2.6970000000000001</v>
          </cell>
          <cell r="G112">
            <v>1.6910000000000001</v>
          </cell>
        </row>
        <row r="113">
          <cell r="A113" t="str">
            <v>26:Q1</v>
          </cell>
          <cell r="B113">
            <v>1.052</v>
          </cell>
          <cell r="C113">
            <v>3.9390000000000001</v>
          </cell>
          <cell r="D113">
            <v>4.923</v>
          </cell>
          <cell r="E113">
            <v>4.1829999999999998</v>
          </cell>
          <cell r="F113">
            <v>2.8050000000000002</v>
          </cell>
          <cell r="G113">
            <v>1.855</v>
          </cell>
        </row>
      </sheetData>
      <sheetData sheetId="35" refreshError="1"/>
      <sheetData sheetId="36">
        <row r="3">
          <cell r="B3" t="str">
            <v>18-29</v>
          </cell>
        </row>
      </sheetData>
      <sheetData sheetId="37" refreshError="1"/>
      <sheetData sheetId="38">
        <row r="1">
          <cell r="A1" t="str">
            <v>Auto Loan Originations By Age</v>
          </cell>
        </row>
        <row r="2">
          <cell r="A2" t="str">
            <v>Billions of dollars</v>
          </cell>
        </row>
        <row r="4">
          <cell r="A4" t="str">
            <v>quarter</v>
          </cell>
          <cell r="B4" t="str">
            <v>18-29</v>
          </cell>
          <cell r="C4" t="str">
            <v>30-39</v>
          </cell>
          <cell r="D4" t="str">
            <v>40-49</v>
          </cell>
          <cell r="E4" t="str">
            <v>50-59</v>
          </cell>
          <cell r="F4" t="str">
            <v>60-69</v>
          </cell>
          <cell r="G4" t="str">
            <v>70+</v>
          </cell>
        </row>
        <row r="5">
          <cell r="A5" t="str">
            <v>00:Q1</v>
          </cell>
          <cell r="B5">
            <v>16</v>
          </cell>
          <cell r="C5">
            <v>24.4</v>
          </cell>
          <cell r="D5">
            <v>23.7</v>
          </cell>
          <cell r="E5">
            <v>16.5</v>
          </cell>
          <cell r="F5">
            <v>6.2136719999999999</v>
          </cell>
          <cell r="G5">
            <v>3.8166579999999999</v>
          </cell>
        </row>
        <row r="6">
          <cell r="A6" t="str">
            <v>00:Q2</v>
          </cell>
          <cell r="B6">
            <v>16.399999999999999</v>
          </cell>
          <cell r="C6">
            <v>24.5</v>
          </cell>
          <cell r="D6">
            <v>23</v>
          </cell>
          <cell r="E6">
            <v>15.4</v>
          </cell>
          <cell r="F6">
            <v>6.0219060000000004</v>
          </cell>
          <cell r="G6">
            <v>3.1930679999999998</v>
          </cell>
        </row>
        <row r="7">
          <cell r="A7" t="str">
            <v>00:Q3</v>
          </cell>
          <cell r="B7">
            <v>16.899999999999999</v>
          </cell>
          <cell r="C7">
            <v>24.4</v>
          </cell>
          <cell r="D7">
            <v>20.5</v>
          </cell>
          <cell r="E7">
            <v>14.2</v>
          </cell>
          <cell r="F7">
            <v>5.6395609999999996</v>
          </cell>
          <cell r="G7">
            <v>2.894434</v>
          </cell>
        </row>
        <row r="8">
          <cell r="A8" t="str">
            <v>00:Q4</v>
          </cell>
          <cell r="B8">
            <v>18.3</v>
          </cell>
          <cell r="C8">
            <v>23.5</v>
          </cell>
          <cell r="D8">
            <v>24.4</v>
          </cell>
          <cell r="E8">
            <v>16.2</v>
          </cell>
          <cell r="F8">
            <v>6.058192</v>
          </cell>
          <cell r="G8">
            <v>2.920423</v>
          </cell>
        </row>
        <row r="9">
          <cell r="A9" t="str">
            <v>01:Q1</v>
          </cell>
          <cell r="B9">
            <v>21.1</v>
          </cell>
          <cell r="C9">
            <v>29.4</v>
          </cell>
          <cell r="D9">
            <v>26</v>
          </cell>
          <cell r="E9">
            <v>18.399999999999999</v>
          </cell>
          <cell r="F9">
            <v>6.8456390000000003</v>
          </cell>
          <cell r="G9">
            <v>3.395553</v>
          </cell>
        </row>
        <row r="10">
          <cell r="A10" t="str">
            <v>01:Q2</v>
          </cell>
          <cell r="B10">
            <v>15.4</v>
          </cell>
          <cell r="C10">
            <v>21.8</v>
          </cell>
          <cell r="D10">
            <v>20.7</v>
          </cell>
          <cell r="E10">
            <v>13.6</v>
          </cell>
          <cell r="F10">
            <v>5.4405919999999997</v>
          </cell>
          <cell r="G10">
            <v>2.7211120000000002</v>
          </cell>
        </row>
        <row r="11">
          <cell r="A11" t="str">
            <v>01:Q3</v>
          </cell>
          <cell r="B11">
            <v>18.8</v>
          </cell>
          <cell r="C11">
            <v>26.1</v>
          </cell>
          <cell r="D11">
            <v>26.1</v>
          </cell>
          <cell r="E11">
            <v>17.5</v>
          </cell>
          <cell r="F11">
            <v>6.88584</v>
          </cell>
          <cell r="G11">
            <v>3.5200960000000001</v>
          </cell>
        </row>
        <row r="12">
          <cell r="A12" t="str">
            <v>01:Q4</v>
          </cell>
          <cell r="B12">
            <v>20.3</v>
          </cell>
          <cell r="C12">
            <v>29.2</v>
          </cell>
          <cell r="D12">
            <v>28</v>
          </cell>
          <cell r="E12">
            <v>19.7</v>
          </cell>
          <cell r="F12">
            <v>7.5412090000000003</v>
          </cell>
          <cell r="G12">
            <v>3.4857230000000001</v>
          </cell>
        </row>
        <row r="13">
          <cell r="A13" t="str">
            <v>02:Q1</v>
          </cell>
          <cell r="B13">
            <v>16.600000000000001</v>
          </cell>
          <cell r="C13">
            <v>28.6</v>
          </cell>
          <cell r="D13">
            <v>28.3</v>
          </cell>
          <cell r="E13">
            <v>21.6</v>
          </cell>
          <cell r="F13">
            <v>9.3581789999999998</v>
          </cell>
          <cell r="G13">
            <v>4.634779</v>
          </cell>
        </row>
        <row r="14">
          <cell r="A14" t="str">
            <v>02:Q2</v>
          </cell>
          <cell r="B14">
            <v>16.899999999999999</v>
          </cell>
          <cell r="C14">
            <v>25.5</v>
          </cell>
          <cell r="D14">
            <v>24.7</v>
          </cell>
          <cell r="E14">
            <v>17.399999999999999</v>
          </cell>
          <cell r="F14">
            <v>7.7956669999999999</v>
          </cell>
          <cell r="G14">
            <v>2.9431039999999999</v>
          </cell>
        </row>
        <row r="15">
          <cell r="A15" t="str">
            <v>02:Q3</v>
          </cell>
          <cell r="B15">
            <v>18.3</v>
          </cell>
          <cell r="C15">
            <v>29</v>
          </cell>
          <cell r="D15">
            <v>26.9</v>
          </cell>
          <cell r="E15">
            <v>18.5</v>
          </cell>
          <cell r="F15">
            <v>6.9989610000000004</v>
          </cell>
          <cell r="G15">
            <v>3.6521080000000001</v>
          </cell>
        </row>
        <row r="16">
          <cell r="A16" t="str">
            <v>02:Q4</v>
          </cell>
          <cell r="B16">
            <v>17.899999999999999</v>
          </cell>
          <cell r="C16">
            <v>26.6</v>
          </cell>
          <cell r="D16">
            <v>25.7</v>
          </cell>
          <cell r="E16">
            <v>19.5</v>
          </cell>
          <cell r="F16">
            <v>7.3877160000000002</v>
          </cell>
          <cell r="G16">
            <v>3.1177130000000002</v>
          </cell>
        </row>
        <row r="17">
          <cell r="A17" t="str">
            <v>03:Q1</v>
          </cell>
          <cell r="B17">
            <v>17.3</v>
          </cell>
          <cell r="C17">
            <v>28.3</v>
          </cell>
          <cell r="D17">
            <v>31.7</v>
          </cell>
          <cell r="E17">
            <v>21.8</v>
          </cell>
          <cell r="F17">
            <v>8.8073630000000005</v>
          </cell>
          <cell r="G17">
            <v>3.5642070000000001</v>
          </cell>
        </row>
        <row r="18">
          <cell r="A18" t="str">
            <v>03:Q2</v>
          </cell>
          <cell r="B18">
            <v>15.8</v>
          </cell>
          <cell r="C18">
            <v>25</v>
          </cell>
          <cell r="D18">
            <v>24.1</v>
          </cell>
          <cell r="E18">
            <v>18.2</v>
          </cell>
          <cell r="F18">
            <v>7.6258419999999996</v>
          </cell>
          <cell r="G18">
            <v>3.0987439999999999</v>
          </cell>
        </row>
        <row r="19">
          <cell r="A19" t="str">
            <v>03:Q3</v>
          </cell>
          <cell r="B19">
            <v>23</v>
          </cell>
          <cell r="C19">
            <v>39.6</v>
          </cell>
          <cell r="D19">
            <v>40.9</v>
          </cell>
          <cell r="E19">
            <v>30.1</v>
          </cell>
          <cell r="F19">
            <v>11.9</v>
          </cell>
          <cell r="G19">
            <v>5.2978059999999996</v>
          </cell>
        </row>
        <row r="20">
          <cell r="A20" t="str">
            <v>03:Q4</v>
          </cell>
          <cell r="B20">
            <v>21.2</v>
          </cell>
          <cell r="C20">
            <v>28.9</v>
          </cell>
          <cell r="D20">
            <v>30.2</v>
          </cell>
          <cell r="E20">
            <v>21.7</v>
          </cell>
          <cell r="F20">
            <v>9.1731739999999995</v>
          </cell>
          <cell r="G20">
            <v>4.1989710000000002</v>
          </cell>
        </row>
        <row r="21">
          <cell r="A21" t="str">
            <v>04:Q1</v>
          </cell>
          <cell r="B21">
            <v>16.600000000000001</v>
          </cell>
          <cell r="C21">
            <v>28.3</v>
          </cell>
          <cell r="D21">
            <v>29</v>
          </cell>
          <cell r="E21">
            <v>22.5</v>
          </cell>
          <cell r="F21">
            <v>8.2951530000000009</v>
          </cell>
          <cell r="G21">
            <v>3.5675490000000001</v>
          </cell>
        </row>
        <row r="22">
          <cell r="A22" t="str">
            <v>04:Q2</v>
          </cell>
          <cell r="B22">
            <v>24.2</v>
          </cell>
          <cell r="C22">
            <v>28.2</v>
          </cell>
          <cell r="D22">
            <v>29.1</v>
          </cell>
          <cell r="E22">
            <v>21.2</v>
          </cell>
          <cell r="F22">
            <v>9.0625750000000007</v>
          </cell>
          <cell r="G22">
            <v>3.592835</v>
          </cell>
        </row>
        <row r="23">
          <cell r="A23" t="str">
            <v>04:Q3</v>
          </cell>
          <cell r="B23">
            <v>20.399999999999999</v>
          </cell>
          <cell r="C23">
            <v>28.7</v>
          </cell>
          <cell r="D23">
            <v>29.9</v>
          </cell>
          <cell r="E23">
            <v>21.9</v>
          </cell>
          <cell r="F23">
            <v>8.3516680000000001</v>
          </cell>
          <cell r="G23">
            <v>3.5618430000000001</v>
          </cell>
        </row>
        <row r="24">
          <cell r="A24" t="str">
            <v>04:Q4</v>
          </cell>
          <cell r="B24">
            <v>20.100000000000001</v>
          </cell>
          <cell r="C24">
            <v>27.7</v>
          </cell>
          <cell r="D24">
            <v>27.9</v>
          </cell>
          <cell r="E24">
            <v>19.899999999999999</v>
          </cell>
          <cell r="F24">
            <v>9.6075149999999994</v>
          </cell>
          <cell r="G24">
            <v>3.178687</v>
          </cell>
        </row>
        <row r="25">
          <cell r="A25" t="str">
            <v>05:Q1</v>
          </cell>
          <cell r="B25">
            <v>16.600000000000001</v>
          </cell>
          <cell r="C25">
            <v>25.1</v>
          </cell>
          <cell r="D25">
            <v>25.8</v>
          </cell>
          <cell r="E25">
            <v>18.7</v>
          </cell>
          <cell r="F25">
            <v>8.7824819999999999</v>
          </cell>
          <cell r="G25">
            <v>3.9450880000000002</v>
          </cell>
        </row>
        <row r="26">
          <cell r="A26" t="str">
            <v>05:Q2</v>
          </cell>
          <cell r="B26">
            <v>23.8</v>
          </cell>
          <cell r="C26">
            <v>37.4</v>
          </cell>
          <cell r="D26">
            <v>39.200000000000003</v>
          </cell>
          <cell r="E26">
            <v>29.8</v>
          </cell>
          <cell r="F26">
            <v>13.6</v>
          </cell>
          <cell r="G26">
            <v>5.4799249999999997</v>
          </cell>
        </row>
        <row r="27">
          <cell r="A27" t="str">
            <v>05:Q3</v>
          </cell>
          <cell r="B27">
            <v>25.4</v>
          </cell>
          <cell r="C27">
            <v>43.6</v>
          </cell>
          <cell r="D27">
            <v>40.299999999999997</v>
          </cell>
          <cell r="E27">
            <v>32.4</v>
          </cell>
          <cell r="F27">
            <v>13</v>
          </cell>
          <cell r="G27">
            <v>3.5166810000000002</v>
          </cell>
        </row>
        <row r="28">
          <cell r="A28" t="str">
            <v>05:Q4</v>
          </cell>
          <cell r="B28">
            <v>19</v>
          </cell>
          <cell r="C28">
            <v>29.8</v>
          </cell>
          <cell r="D28">
            <v>28.6</v>
          </cell>
          <cell r="E28">
            <v>19.600000000000001</v>
          </cell>
          <cell r="F28">
            <v>8.6004330000000007</v>
          </cell>
          <cell r="G28">
            <v>3.1553629999999999</v>
          </cell>
        </row>
        <row r="29">
          <cell r="A29" t="str">
            <v>06:Q1</v>
          </cell>
          <cell r="B29">
            <v>17.5</v>
          </cell>
          <cell r="C29">
            <v>24</v>
          </cell>
          <cell r="D29">
            <v>26.6</v>
          </cell>
          <cell r="E29">
            <v>20.100000000000001</v>
          </cell>
          <cell r="F29">
            <v>8.8231619999999999</v>
          </cell>
          <cell r="G29">
            <v>3.3133949999999999</v>
          </cell>
        </row>
        <row r="30">
          <cell r="A30" t="str">
            <v>06:Q2</v>
          </cell>
          <cell r="B30">
            <v>20.3</v>
          </cell>
          <cell r="C30">
            <v>30.4</v>
          </cell>
          <cell r="D30">
            <v>29.2</v>
          </cell>
          <cell r="E30">
            <v>20.8</v>
          </cell>
          <cell r="F30">
            <v>9.1147449999999992</v>
          </cell>
          <cell r="G30">
            <v>3.8152490000000001</v>
          </cell>
        </row>
        <row r="31">
          <cell r="A31" t="str">
            <v>06:Q3</v>
          </cell>
          <cell r="B31">
            <v>24.5</v>
          </cell>
          <cell r="C31">
            <v>30.5</v>
          </cell>
          <cell r="D31">
            <v>32.6</v>
          </cell>
          <cell r="E31">
            <v>23.5</v>
          </cell>
          <cell r="F31">
            <v>11.9</v>
          </cell>
          <cell r="G31">
            <v>4.3807669999999996</v>
          </cell>
        </row>
        <row r="32">
          <cell r="A32" t="str">
            <v>06:Q4</v>
          </cell>
          <cell r="B32">
            <v>20.100000000000001</v>
          </cell>
          <cell r="C32">
            <v>25.4</v>
          </cell>
          <cell r="D32">
            <v>26.7</v>
          </cell>
          <cell r="E32">
            <v>20</v>
          </cell>
          <cell r="F32">
            <v>8.9251120000000004</v>
          </cell>
          <cell r="G32">
            <v>3.4681060000000001</v>
          </cell>
        </row>
        <row r="33">
          <cell r="A33" t="str">
            <v>07:Q1</v>
          </cell>
          <cell r="B33">
            <v>16.8</v>
          </cell>
          <cell r="C33">
            <v>23.7</v>
          </cell>
          <cell r="D33">
            <v>22.6</v>
          </cell>
          <cell r="E33">
            <v>18.2</v>
          </cell>
          <cell r="F33">
            <v>8.2558030000000002</v>
          </cell>
          <cell r="G33">
            <v>3.3672659999999999</v>
          </cell>
        </row>
        <row r="34">
          <cell r="A34" t="str">
            <v>07:Q2</v>
          </cell>
          <cell r="B34">
            <v>20.9</v>
          </cell>
          <cell r="C34">
            <v>26.9</v>
          </cell>
          <cell r="D34">
            <v>26.2</v>
          </cell>
          <cell r="E34">
            <v>20.399999999999999</v>
          </cell>
          <cell r="F34">
            <v>9.8821080000000006</v>
          </cell>
          <cell r="G34">
            <v>3.5537160000000001</v>
          </cell>
        </row>
        <row r="35">
          <cell r="A35" t="str">
            <v>07:Q3</v>
          </cell>
          <cell r="B35">
            <v>21.5</v>
          </cell>
          <cell r="C35">
            <v>25.9</v>
          </cell>
          <cell r="D35">
            <v>29</v>
          </cell>
          <cell r="E35">
            <v>22.7</v>
          </cell>
          <cell r="F35">
            <v>10.199999999999999</v>
          </cell>
          <cell r="G35">
            <v>4.0499580000000002</v>
          </cell>
        </row>
        <row r="36">
          <cell r="A36" t="str">
            <v>07:Q4</v>
          </cell>
          <cell r="B36">
            <v>18.8</v>
          </cell>
          <cell r="C36">
            <v>24.2</v>
          </cell>
          <cell r="D36">
            <v>23.8</v>
          </cell>
          <cell r="E36">
            <v>18.600000000000001</v>
          </cell>
          <cell r="F36">
            <v>9.5851539999999993</v>
          </cell>
          <cell r="G36">
            <v>3.555177</v>
          </cell>
        </row>
        <row r="37">
          <cell r="A37" t="str">
            <v>08:Q1</v>
          </cell>
          <cell r="B37">
            <v>15.9</v>
          </cell>
          <cell r="C37">
            <v>22.2</v>
          </cell>
          <cell r="D37">
            <v>23.3</v>
          </cell>
          <cell r="E37">
            <v>17</v>
          </cell>
          <cell r="F37">
            <v>8.3696959999999994</v>
          </cell>
          <cell r="G37">
            <v>3.1560320000000002</v>
          </cell>
        </row>
        <row r="38">
          <cell r="A38" t="str">
            <v>08:Q2</v>
          </cell>
          <cell r="B38">
            <v>17.8</v>
          </cell>
          <cell r="C38">
            <v>24.2</v>
          </cell>
          <cell r="D38">
            <v>23.1</v>
          </cell>
          <cell r="E38">
            <v>19.100000000000001</v>
          </cell>
          <cell r="F38">
            <v>9.0210179999999998</v>
          </cell>
          <cell r="G38">
            <v>4.0762150000000004</v>
          </cell>
        </row>
        <row r="39">
          <cell r="A39" t="str">
            <v>08:Q3</v>
          </cell>
          <cell r="B39">
            <v>17.600000000000001</v>
          </cell>
          <cell r="C39">
            <v>21.7</v>
          </cell>
          <cell r="D39">
            <v>22.5</v>
          </cell>
          <cell r="E39">
            <v>18.899999999999999</v>
          </cell>
          <cell r="F39">
            <v>9.3036770000000004</v>
          </cell>
          <cell r="G39">
            <v>3.6170939999999998</v>
          </cell>
        </row>
        <row r="40">
          <cell r="A40" t="str">
            <v>08:Q4</v>
          </cell>
          <cell r="B40">
            <v>13.5</v>
          </cell>
          <cell r="C40">
            <v>16.600000000000001</v>
          </cell>
          <cell r="D40">
            <v>18.3</v>
          </cell>
          <cell r="E40">
            <v>14.3</v>
          </cell>
          <cell r="F40">
            <v>7.8483020000000003</v>
          </cell>
          <cell r="G40">
            <v>2.8004560000000001</v>
          </cell>
        </row>
        <row r="41">
          <cell r="A41" t="str">
            <v>09:Q1</v>
          </cell>
          <cell r="B41">
            <v>10.5</v>
          </cell>
          <cell r="C41">
            <v>15.1</v>
          </cell>
          <cell r="D41">
            <v>15.2</v>
          </cell>
          <cell r="E41">
            <v>14</v>
          </cell>
          <cell r="F41">
            <v>7.1691950000000002</v>
          </cell>
          <cell r="G41">
            <v>3.5139239999999998</v>
          </cell>
        </row>
        <row r="42">
          <cell r="A42" t="str">
            <v>09:Q2</v>
          </cell>
          <cell r="B42">
            <v>11</v>
          </cell>
          <cell r="C42">
            <v>15.4</v>
          </cell>
          <cell r="D42">
            <v>16.899999999999999</v>
          </cell>
          <cell r="E42">
            <v>14.3</v>
          </cell>
          <cell r="F42">
            <v>8.5924969999999998</v>
          </cell>
          <cell r="G42">
            <v>3.6026039999999999</v>
          </cell>
        </row>
        <row r="43">
          <cell r="A43" t="str">
            <v>09:Q3</v>
          </cell>
          <cell r="B43">
            <v>12.3</v>
          </cell>
          <cell r="C43">
            <v>16.600000000000001</v>
          </cell>
          <cell r="D43">
            <v>19.8</v>
          </cell>
          <cell r="E43">
            <v>18.100000000000001</v>
          </cell>
          <cell r="F43">
            <v>10.1</v>
          </cell>
          <cell r="G43">
            <v>3.8402850000000002</v>
          </cell>
        </row>
        <row r="44">
          <cell r="A44" t="str">
            <v>09:Q4</v>
          </cell>
          <cell r="B44">
            <v>10.8</v>
          </cell>
          <cell r="C44">
            <v>15</v>
          </cell>
          <cell r="D44">
            <v>15.2</v>
          </cell>
          <cell r="E44">
            <v>14.4</v>
          </cell>
          <cell r="F44">
            <v>8.1273239999999998</v>
          </cell>
          <cell r="G44">
            <v>2.9470040000000002</v>
          </cell>
        </row>
        <row r="45">
          <cell r="A45" t="str">
            <v>10:Q1</v>
          </cell>
          <cell r="B45">
            <v>8.5726040000000001</v>
          </cell>
          <cell r="C45">
            <v>14.8</v>
          </cell>
          <cell r="D45">
            <v>16.5</v>
          </cell>
          <cell r="E45">
            <v>13.5</v>
          </cell>
          <cell r="F45">
            <v>8.2014069999999997</v>
          </cell>
          <cell r="G45">
            <v>3.0786199999999999</v>
          </cell>
        </row>
        <row r="46">
          <cell r="A46" t="str">
            <v>10:Q2</v>
          </cell>
          <cell r="B46">
            <v>13.1</v>
          </cell>
          <cell r="C46">
            <v>19.5</v>
          </cell>
          <cell r="D46">
            <v>19.7</v>
          </cell>
          <cell r="E46">
            <v>18</v>
          </cell>
          <cell r="F46">
            <v>9.6648569999999996</v>
          </cell>
          <cell r="G46">
            <v>3.2111719999999999</v>
          </cell>
        </row>
        <row r="47">
          <cell r="A47" t="str">
            <v>10:Q3</v>
          </cell>
          <cell r="B47">
            <v>13.6</v>
          </cell>
          <cell r="C47">
            <v>19.7</v>
          </cell>
          <cell r="D47">
            <v>21.7</v>
          </cell>
          <cell r="E47">
            <v>18.8</v>
          </cell>
          <cell r="F47">
            <v>11.4</v>
          </cell>
          <cell r="G47">
            <v>3.9287909999999999</v>
          </cell>
        </row>
        <row r="48">
          <cell r="A48" t="str">
            <v>10:Q4</v>
          </cell>
          <cell r="B48">
            <v>12.6</v>
          </cell>
          <cell r="C48">
            <v>17.600000000000001</v>
          </cell>
          <cell r="D48">
            <v>18.5</v>
          </cell>
          <cell r="E48">
            <v>15.6</v>
          </cell>
          <cell r="F48">
            <v>10.3</v>
          </cell>
          <cell r="G48">
            <v>4.0849039999999999</v>
          </cell>
        </row>
        <row r="49">
          <cell r="A49" t="str">
            <v>11:Q1</v>
          </cell>
          <cell r="B49">
            <v>11.2</v>
          </cell>
          <cell r="C49">
            <v>18.2</v>
          </cell>
          <cell r="D49">
            <v>19.2</v>
          </cell>
          <cell r="E49">
            <v>16.5</v>
          </cell>
          <cell r="F49">
            <v>9.4715419999999995</v>
          </cell>
          <cell r="G49">
            <v>3.6316739999999998</v>
          </cell>
        </row>
        <row r="50">
          <cell r="A50" t="str">
            <v>11:Q2</v>
          </cell>
          <cell r="B50">
            <v>13.2</v>
          </cell>
          <cell r="C50">
            <v>20.100000000000001</v>
          </cell>
          <cell r="D50">
            <v>21.8</v>
          </cell>
          <cell r="E50">
            <v>19.2</v>
          </cell>
          <cell r="F50">
            <v>12</v>
          </cell>
          <cell r="G50">
            <v>4.7748309999999998</v>
          </cell>
        </row>
        <row r="51">
          <cell r="A51" t="str">
            <v>11:Q3</v>
          </cell>
          <cell r="B51">
            <v>15.5</v>
          </cell>
          <cell r="C51">
            <v>21.9</v>
          </cell>
          <cell r="D51">
            <v>24</v>
          </cell>
          <cell r="E51">
            <v>20.3</v>
          </cell>
          <cell r="F51">
            <v>11.9</v>
          </cell>
          <cell r="G51">
            <v>4.343483</v>
          </cell>
        </row>
        <row r="52">
          <cell r="A52" t="str">
            <v>11:Q4</v>
          </cell>
          <cell r="B52">
            <v>14.3</v>
          </cell>
          <cell r="C52">
            <v>18.100000000000001</v>
          </cell>
          <cell r="D52">
            <v>23.5</v>
          </cell>
          <cell r="E52">
            <v>16.8</v>
          </cell>
          <cell r="F52">
            <v>10.9</v>
          </cell>
          <cell r="G52">
            <v>4.3071719999999996</v>
          </cell>
        </row>
        <row r="53">
          <cell r="A53" t="str">
            <v>12:Q1</v>
          </cell>
          <cell r="B53">
            <v>12.6</v>
          </cell>
          <cell r="C53">
            <v>19.100000000000001</v>
          </cell>
          <cell r="D53">
            <v>21.6</v>
          </cell>
          <cell r="E53">
            <v>19.8</v>
          </cell>
          <cell r="F53">
            <v>11.3</v>
          </cell>
          <cell r="G53">
            <v>4.4959350000000002</v>
          </cell>
        </row>
        <row r="54">
          <cell r="A54" t="str">
            <v>12:Q2</v>
          </cell>
          <cell r="B54">
            <v>15.5</v>
          </cell>
          <cell r="C54">
            <v>23.6</v>
          </cell>
          <cell r="D54">
            <v>23.6</v>
          </cell>
          <cell r="E54">
            <v>21.7</v>
          </cell>
          <cell r="F54">
            <v>12.3</v>
          </cell>
          <cell r="G54">
            <v>4.5375649999999998</v>
          </cell>
        </row>
        <row r="55">
          <cell r="A55" t="str">
            <v>12:Q3</v>
          </cell>
          <cell r="B55">
            <v>15.7</v>
          </cell>
          <cell r="C55">
            <v>24</v>
          </cell>
          <cell r="D55">
            <v>26</v>
          </cell>
          <cell r="E55">
            <v>22.2</v>
          </cell>
          <cell r="F55">
            <v>12.9</v>
          </cell>
          <cell r="G55">
            <v>5.2682869999999999</v>
          </cell>
        </row>
        <row r="56">
          <cell r="A56" t="str">
            <v>12:Q4</v>
          </cell>
          <cell r="B56">
            <v>18.5</v>
          </cell>
          <cell r="C56">
            <v>23.2</v>
          </cell>
          <cell r="D56">
            <v>26.4</v>
          </cell>
          <cell r="E56">
            <v>23.1</v>
          </cell>
          <cell r="F56">
            <v>13</v>
          </cell>
          <cell r="G56">
            <v>4.9496900000000004</v>
          </cell>
        </row>
        <row r="57">
          <cell r="A57" t="str">
            <v>13:Q1</v>
          </cell>
          <cell r="B57">
            <v>13.9</v>
          </cell>
          <cell r="C57">
            <v>22.6</v>
          </cell>
          <cell r="D57">
            <v>23.4</v>
          </cell>
          <cell r="E57">
            <v>20.3</v>
          </cell>
          <cell r="F57">
            <v>13.1</v>
          </cell>
          <cell r="G57">
            <v>5.5516110000000003</v>
          </cell>
        </row>
        <row r="58">
          <cell r="A58" t="str">
            <v>13:Q2</v>
          </cell>
          <cell r="B58">
            <v>17</v>
          </cell>
          <cell r="C58">
            <v>26.9</v>
          </cell>
          <cell r="D58">
            <v>26.4</v>
          </cell>
          <cell r="E58">
            <v>23.6</v>
          </cell>
          <cell r="F58">
            <v>15.3</v>
          </cell>
          <cell r="G58">
            <v>5.9654939999999996</v>
          </cell>
        </row>
        <row r="59">
          <cell r="A59" t="str">
            <v>13:Q3</v>
          </cell>
          <cell r="B59">
            <v>22</v>
          </cell>
          <cell r="C59">
            <v>26</v>
          </cell>
          <cell r="D59">
            <v>29.9</v>
          </cell>
          <cell r="E59">
            <v>26.8</v>
          </cell>
          <cell r="F59">
            <v>15.7</v>
          </cell>
          <cell r="G59">
            <v>6.2505360000000003</v>
          </cell>
        </row>
        <row r="60">
          <cell r="A60" t="str">
            <v>13:Q4</v>
          </cell>
          <cell r="B60">
            <v>18.7</v>
          </cell>
          <cell r="C60">
            <v>23.9</v>
          </cell>
          <cell r="D60">
            <v>25</v>
          </cell>
          <cell r="E60">
            <v>22.6</v>
          </cell>
          <cell r="F60">
            <v>13.5</v>
          </cell>
          <cell r="G60">
            <v>5.4362659999999998</v>
          </cell>
        </row>
        <row r="61">
          <cell r="A61" t="str">
            <v>14:Q1</v>
          </cell>
          <cell r="B61">
            <v>16.600000000000001</v>
          </cell>
          <cell r="C61">
            <v>22.8</v>
          </cell>
          <cell r="D61">
            <v>26.5</v>
          </cell>
          <cell r="E61">
            <v>23</v>
          </cell>
          <cell r="F61">
            <v>13.7</v>
          </cell>
          <cell r="G61">
            <v>6.0493670000000002</v>
          </cell>
        </row>
        <row r="62">
          <cell r="A62" t="str">
            <v>14:Q2</v>
          </cell>
          <cell r="B62">
            <v>19.399999999999999</v>
          </cell>
          <cell r="C62">
            <v>29.1</v>
          </cell>
          <cell r="D62">
            <v>28.3</v>
          </cell>
          <cell r="E62">
            <v>25.1</v>
          </cell>
          <cell r="F62">
            <v>16</v>
          </cell>
          <cell r="G62">
            <v>7.1211729999999998</v>
          </cell>
        </row>
        <row r="63">
          <cell r="A63" t="str">
            <v>14:Q3</v>
          </cell>
          <cell r="B63">
            <v>21.8</v>
          </cell>
          <cell r="C63">
            <v>30.1</v>
          </cell>
          <cell r="D63">
            <v>29.4</v>
          </cell>
          <cell r="E63">
            <v>27.2</v>
          </cell>
          <cell r="F63">
            <v>17.100000000000001</v>
          </cell>
          <cell r="G63">
            <v>6.5728280000000003</v>
          </cell>
        </row>
        <row r="64">
          <cell r="A64" t="str">
            <v>14:Q4</v>
          </cell>
          <cell r="B64">
            <v>20.2</v>
          </cell>
          <cell r="C64">
            <v>27.4</v>
          </cell>
          <cell r="D64">
            <v>28.2</v>
          </cell>
          <cell r="E64">
            <v>25.3</v>
          </cell>
          <cell r="F64">
            <v>15</v>
          </cell>
          <cell r="G64">
            <v>6.446485</v>
          </cell>
        </row>
        <row r="65">
          <cell r="A65" t="str">
            <v>15:Q1</v>
          </cell>
          <cell r="B65">
            <v>16.899999999999999</v>
          </cell>
          <cell r="C65">
            <v>26</v>
          </cell>
          <cell r="D65">
            <v>28.1</v>
          </cell>
          <cell r="E65">
            <v>25.4</v>
          </cell>
          <cell r="F65">
            <v>13.8</v>
          </cell>
          <cell r="G65">
            <v>6.3408490000000004</v>
          </cell>
        </row>
        <row r="66">
          <cell r="A66" t="str">
            <v>15:Q2</v>
          </cell>
          <cell r="B66">
            <v>24.7</v>
          </cell>
          <cell r="C66">
            <v>33</v>
          </cell>
          <cell r="D66">
            <v>33.4</v>
          </cell>
          <cell r="E66">
            <v>27.6</v>
          </cell>
          <cell r="F66">
            <v>18.399999999999999</v>
          </cell>
          <cell r="G66">
            <v>8.0994969999999995</v>
          </cell>
        </row>
        <row r="67">
          <cell r="A67" t="str">
            <v>15:Q3</v>
          </cell>
          <cell r="B67">
            <v>25.9</v>
          </cell>
          <cell r="C67">
            <v>32</v>
          </cell>
          <cell r="D67">
            <v>35.200000000000003</v>
          </cell>
          <cell r="E67">
            <v>30.1</v>
          </cell>
          <cell r="F67">
            <v>19.8</v>
          </cell>
          <cell r="G67">
            <v>7.9309979999999998</v>
          </cell>
        </row>
        <row r="68">
          <cell r="A68" t="str">
            <v>15:Q4</v>
          </cell>
          <cell r="B68">
            <v>21.8</v>
          </cell>
          <cell r="C68">
            <v>28</v>
          </cell>
          <cell r="D68">
            <v>30.3</v>
          </cell>
          <cell r="E68">
            <v>26.6</v>
          </cell>
          <cell r="F68">
            <v>17</v>
          </cell>
          <cell r="G68">
            <v>7.1013799999999998</v>
          </cell>
        </row>
        <row r="69">
          <cell r="A69" t="str">
            <v>16:Q1</v>
          </cell>
          <cell r="B69">
            <v>19.2</v>
          </cell>
          <cell r="C69">
            <v>28</v>
          </cell>
          <cell r="D69">
            <v>26.6</v>
          </cell>
          <cell r="E69">
            <v>25.5</v>
          </cell>
          <cell r="F69">
            <v>17.600000000000001</v>
          </cell>
          <cell r="G69">
            <v>7.2850260000000002</v>
          </cell>
        </row>
        <row r="70">
          <cell r="A70" t="str">
            <v>16:Q2</v>
          </cell>
          <cell r="B70">
            <v>23.4</v>
          </cell>
          <cell r="C70">
            <v>33</v>
          </cell>
          <cell r="D70">
            <v>33.6</v>
          </cell>
          <cell r="E70">
            <v>30.6</v>
          </cell>
          <cell r="F70">
            <v>18.5</v>
          </cell>
          <cell r="G70">
            <v>8.7310540000000003</v>
          </cell>
        </row>
        <row r="71">
          <cell r="A71" t="str">
            <v>16:Q3</v>
          </cell>
          <cell r="B71">
            <v>24</v>
          </cell>
          <cell r="C71">
            <v>33.1</v>
          </cell>
          <cell r="D71">
            <v>33.9</v>
          </cell>
          <cell r="E71">
            <v>30.3</v>
          </cell>
          <cell r="F71">
            <v>18.899999999999999</v>
          </cell>
          <cell r="G71">
            <v>8.9888820000000003</v>
          </cell>
        </row>
        <row r="72">
          <cell r="A72" t="str">
            <v>16:Q4</v>
          </cell>
          <cell r="B72">
            <v>21.4</v>
          </cell>
          <cell r="C72">
            <v>30.4</v>
          </cell>
          <cell r="D72">
            <v>30.4</v>
          </cell>
          <cell r="E72">
            <v>29.4</v>
          </cell>
          <cell r="F72">
            <v>22.5</v>
          </cell>
          <cell r="G72">
            <v>7.7134260000000001</v>
          </cell>
        </row>
        <row r="73">
          <cell r="A73" t="str">
            <v>17:Q1</v>
          </cell>
          <cell r="B73">
            <v>19.899999999999999</v>
          </cell>
          <cell r="C73">
            <v>28</v>
          </cell>
          <cell r="D73">
            <v>30.1</v>
          </cell>
          <cell r="E73">
            <v>27</v>
          </cell>
          <cell r="F73">
            <v>18.600000000000001</v>
          </cell>
          <cell r="G73">
            <v>8.6495259999999998</v>
          </cell>
        </row>
        <row r="74">
          <cell r="A74" t="str">
            <v>17:Q2</v>
          </cell>
          <cell r="B74">
            <v>23.9</v>
          </cell>
          <cell r="C74">
            <v>31.6</v>
          </cell>
          <cell r="D74">
            <v>33.1</v>
          </cell>
          <cell r="E74">
            <v>28.8</v>
          </cell>
          <cell r="F74">
            <v>19.3</v>
          </cell>
          <cell r="G74">
            <v>9.7314520000000009</v>
          </cell>
        </row>
        <row r="75">
          <cell r="A75" t="str">
            <v>17:Q3</v>
          </cell>
          <cell r="B75">
            <v>24.1</v>
          </cell>
          <cell r="C75">
            <v>33.9</v>
          </cell>
          <cell r="D75">
            <v>34</v>
          </cell>
          <cell r="E75">
            <v>31.3</v>
          </cell>
          <cell r="F75">
            <v>18.5</v>
          </cell>
          <cell r="G75">
            <v>8.6702309999999994</v>
          </cell>
        </row>
        <row r="76">
          <cell r="A76" t="str">
            <v>17:Q4</v>
          </cell>
          <cell r="B76">
            <v>22.2</v>
          </cell>
          <cell r="C76">
            <v>30.7</v>
          </cell>
          <cell r="D76">
            <v>30.6</v>
          </cell>
          <cell r="E76">
            <v>27.6</v>
          </cell>
          <cell r="F76">
            <v>18.5</v>
          </cell>
          <cell r="G76">
            <v>8.7875739999999993</v>
          </cell>
        </row>
        <row r="77">
          <cell r="A77" t="str">
            <v>18:Q1</v>
          </cell>
          <cell r="B77">
            <v>20.100000000000001</v>
          </cell>
          <cell r="C77">
            <v>28.9</v>
          </cell>
          <cell r="D77">
            <v>29</v>
          </cell>
          <cell r="E77">
            <v>26.2</v>
          </cell>
          <cell r="F77">
            <v>16.5</v>
          </cell>
          <cell r="G77">
            <v>9.5749049999999993</v>
          </cell>
        </row>
        <row r="78">
          <cell r="A78" t="str">
            <v>18:Q2</v>
          </cell>
          <cell r="B78">
            <v>22.6</v>
          </cell>
          <cell r="C78">
            <v>33.6</v>
          </cell>
          <cell r="D78">
            <v>34</v>
          </cell>
          <cell r="E78">
            <v>29.7</v>
          </cell>
          <cell r="F78">
            <v>19.5</v>
          </cell>
          <cell r="G78">
            <v>10.5</v>
          </cell>
        </row>
        <row r="79">
          <cell r="A79" t="str">
            <v>18:Q3</v>
          </cell>
          <cell r="B79">
            <v>26</v>
          </cell>
          <cell r="C79">
            <v>35.1</v>
          </cell>
          <cell r="D79">
            <v>35.299999999999997</v>
          </cell>
          <cell r="E79">
            <v>31.5</v>
          </cell>
          <cell r="F79">
            <v>19.100000000000001</v>
          </cell>
          <cell r="G79">
            <v>9.2402569999999997</v>
          </cell>
        </row>
        <row r="80">
          <cell r="A80" t="str">
            <v>18:Q4</v>
          </cell>
          <cell r="B80">
            <v>22.3</v>
          </cell>
          <cell r="C80">
            <v>31.8</v>
          </cell>
          <cell r="D80">
            <v>33.5</v>
          </cell>
          <cell r="E80">
            <v>28.5</v>
          </cell>
          <cell r="F80">
            <v>18.399999999999999</v>
          </cell>
          <cell r="G80">
            <v>9.066846</v>
          </cell>
        </row>
        <row r="81">
          <cell r="A81" t="str">
            <v>19:Q1</v>
          </cell>
          <cell r="B81">
            <v>19.600000000000001</v>
          </cell>
          <cell r="C81">
            <v>29.9</v>
          </cell>
          <cell r="D81">
            <v>30.8</v>
          </cell>
          <cell r="E81">
            <v>29.3</v>
          </cell>
          <cell r="F81">
            <v>18.5</v>
          </cell>
          <cell r="G81">
            <v>9.1195749999999993</v>
          </cell>
        </row>
        <row r="82">
          <cell r="A82" t="str">
            <v>19:Q2</v>
          </cell>
          <cell r="B82">
            <v>25.6</v>
          </cell>
          <cell r="C82">
            <v>33.1</v>
          </cell>
          <cell r="D82">
            <v>36.299999999999997</v>
          </cell>
          <cell r="E82">
            <v>29.6</v>
          </cell>
          <cell r="F82">
            <v>18.700000000000003</v>
          </cell>
          <cell r="G82">
            <v>11</v>
          </cell>
        </row>
        <row r="83">
          <cell r="A83" t="str">
            <v>19:Q3</v>
          </cell>
          <cell r="B83">
            <v>25.6</v>
          </cell>
          <cell r="C83">
            <v>33.9</v>
          </cell>
          <cell r="D83">
            <v>35.200000000000003</v>
          </cell>
          <cell r="E83">
            <v>33.1</v>
          </cell>
          <cell r="F83">
            <v>20.099999999999998</v>
          </cell>
          <cell r="G83">
            <v>10.199999999999999</v>
          </cell>
        </row>
        <row r="84">
          <cell r="A84" t="str">
            <v>19:Q4</v>
          </cell>
          <cell r="B84">
            <v>25.299999999999997</v>
          </cell>
          <cell r="C84">
            <v>33.199999999999996</v>
          </cell>
          <cell r="D84">
            <v>35.699999999999996</v>
          </cell>
          <cell r="E84">
            <v>31</v>
          </cell>
          <cell r="F84">
            <v>20.299999999999997</v>
          </cell>
          <cell r="G84">
            <v>10.199999999999999</v>
          </cell>
        </row>
        <row r="85">
          <cell r="A85" t="str">
            <v>20:Q1</v>
          </cell>
          <cell r="B85">
            <v>20.8</v>
          </cell>
          <cell r="C85">
            <v>30.7</v>
          </cell>
          <cell r="D85">
            <v>34.200000000000003</v>
          </cell>
          <cell r="E85">
            <v>31.2</v>
          </cell>
          <cell r="F85">
            <v>22</v>
          </cell>
          <cell r="G85">
            <v>10.6</v>
          </cell>
        </row>
        <row r="86">
          <cell r="A86" t="str">
            <v>20:Q2</v>
          </cell>
          <cell r="B86">
            <v>23.4</v>
          </cell>
          <cell r="C86">
            <v>32.799999999999997</v>
          </cell>
          <cell r="D86">
            <v>30.2</v>
          </cell>
          <cell r="E86">
            <v>28.5</v>
          </cell>
          <cell r="F86">
            <v>17.3</v>
          </cell>
          <cell r="G86">
            <v>8.3684480000000008</v>
          </cell>
        </row>
        <row r="87">
          <cell r="A87" t="str">
            <v>20:Q3</v>
          </cell>
          <cell r="B87">
            <v>28.8</v>
          </cell>
          <cell r="C87">
            <v>39.9</v>
          </cell>
          <cell r="D87">
            <v>38</v>
          </cell>
          <cell r="E87">
            <v>33.799999999999997</v>
          </cell>
          <cell r="F87">
            <v>22.5</v>
          </cell>
          <cell r="G87">
            <v>11.5</v>
          </cell>
        </row>
        <row r="88">
          <cell r="A88" t="str">
            <v>20:Q4</v>
          </cell>
          <cell r="B88">
            <v>26.4</v>
          </cell>
          <cell r="C88">
            <v>34.5</v>
          </cell>
          <cell r="D88">
            <v>35.9</v>
          </cell>
          <cell r="E88">
            <v>31.8</v>
          </cell>
          <cell r="F88">
            <v>18.899999999999999</v>
          </cell>
          <cell r="G88">
            <v>10.3</v>
          </cell>
        </row>
        <row r="89">
          <cell r="A89" t="str">
            <v>21:Q1</v>
          </cell>
          <cell r="B89">
            <v>23.2</v>
          </cell>
          <cell r="C89">
            <v>31.4</v>
          </cell>
          <cell r="D89">
            <v>33.9</v>
          </cell>
          <cell r="E89">
            <v>30</v>
          </cell>
          <cell r="F89">
            <v>19.899999999999999</v>
          </cell>
          <cell r="G89">
            <v>10.8</v>
          </cell>
        </row>
        <row r="90">
          <cell r="A90" t="str">
            <v>21:Q2</v>
          </cell>
          <cell r="B90">
            <v>33.4</v>
          </cell>
          <cell r="C90">
            <v>46</v>
          </cell>
          <cell r="D90">
            <v>44.3</v>
          </cell>
          <cell r="E90">
            <v>37.799999999999997</v>
          </cell>
          <cell r="F90">
            <v>22.7</v>
          </cell>
          <cell r="G90">
            <v>13.5</v>
          </cell>
        </row>
        <row r="91">
          <cell r="A91" t="str">
            <v>21:Q3</v>
          </cell>
          <cell r="B91">
            <v>33.799999999999997</v>
          </cell>
          <cell r="C91">
            <v>46.7</v>
          </cell>
          <cell r="D91">
            <v>44.8</v>
          </cell>
          <cell r="E91">
            <v>37.6</v>
          </cell>
          <cell r="F91">
            <v>22.7</v>
          </cell>
          <cell r="G91">
            <v>9.6703759999999992</v>
          </cell>
        </row>
        <row r="92">
          <cell r="A92" t="str">
            <v>21:Q4</v>
          </cell>
          <cell r="B92">
            <v>29.9</v>
          </cell>
          <cell r="C92">
            <v>41.4</v>
          </cell>
          <cell r="D92">
            <v>42.3</v>
          </cell>
          <cell r="E92">
            <v>33.200000000000003</v>
          </cell>
          <cell r="F92">
            <v>20.399999999999999</v>
          </cell>
          <cell r="G92">
            <v>9.2827040000000007</v>
          </cell>
        </row>
        <row r="93">
          <cell r="A93" t="str">
            <v>22:Q1</v>
          </cell>
          <cell r="B93">
            <v>26.4</v>
          </cell>
          <cell r="C93">
            <v>41.2</v>
          </cell>
          <cell r="D93">
            <v>40.700000000000003</v>
          </cell>
          <cell r="E93">
            <v>34.299999999999997</v>
          </cell>
          <cell r="F93">
            <v>21</v>
          </cell>
          <cell r="G93">
            <v>10</v>
          </cell>
        </row>
        <row r="94">
          <cell r="A94" t="str">
            <v>22:Q2</v>
          </cell>
          <cell r="B94">
            <v>32.6</v>
          </cell>
          <cell r="C94">
            <v>47.7</v>
          </cell>
          <cell r="D94">
            <v>45</v>
          </cell>
          <cell r="E94">
            <v>37</v>
          </cell>
          <cell r="F94">
            <v>21.8</v>
          </cell>
          <cell r="G94">
            <v>11</v>
          </cell>
        </row>
        <row r="95">
          <cell r="A95" t="str">
            <v>22:Q3</v>
          </cell>
          <cell r="B95">
            <v>29</v>
          </cell>
          <cell r="C95">
            <v>43.4</v>
          </cell>
          <cell r="D95">
            <v>43</v>
          </cell>
          <cell r="E95">
            <v>36.299999999999997</v>
          </cell>
          <cell r="F95">
            <v>20.3</v>
          </cell>
          <cell r="G95">
            <v>10.5</v>
          </cell>
        </row>
        <row r="96">
          <cell r="A96" t="str">
            <v>22:Q4</v>
          </cell>
          <cell r="B96">
            <v>31.3</v>
          </cell>
          <cell r="C96">
            <v>44.8</v>
          </cell>
          <cell r="D96">
            <v>44.6</v>
          </cell>
          <cell r="E96">
            <v>34.799999999999997</v>
          </cell>
          <cell r="F96">
            <v>21.4</v>
          </cell>
          <cell r="G96">
            <v>9.1522489999999994</v>
          </cell>
        </row>
        <row r="97">
          <cell r="A97" t="str">
            <v>23:Q1</v>
          </cell>
          <cell r="B97">
            <v>23.4</v>
          </cell>
          <cell r="C97">
            <v>37</v>
          </cell>
          <cell r="D97">
            <v>36.5</v>
          </cell>
          <cell r="E97">
            <v>32</v>
          </cell>
          <cell r="F97">
            <v>19.5</v>
          </cell>
          <cell r="G97">
            <v>10.199999999999999</v>
          </cell>
        </row>
        <row r="98">
          <cell r="A98" t="str">
            <v>23:Q2</v>
          </cell>
          <cell r="B98">
            <v>27.3</v>
          </cell>
          <cell r="C98">
            <v>40.6</v>
          </cell>
          <cell r="D98">
            <v>40.6</v>
          </cell>
          <cell r="E98">
            <v>34.4</v>
          </cell>
          <cell r="F98">
            <v>21.4</v>
          </cell>
          <cell r="G98">
            <v>11.4</v>
          </cell>
        </row>
        <row r="99">
          <cell r="A99" t="str">
            <v>23:Q3</v>
          </cell>
          <cell r="B99">
            <v>27.8</v>
          </cell>
          <cell r="C99">
            <v>41.4</v>
          </cell>
          <cell r="D99">
            <v>40.5</v>
          </cell>
          <cell r="E99">
            <v>34.1</v>
          </cell>
          <cell r="F99">
            <v>21.3</v>
          </cell>
          <cell r="G99">
            <v>10.9</v>
          </cell>
        </row>
        <row r="100">
          <cell r="A100" t="str">
            <v>23:Q4</v>
          </cell>
          <cell r="B100">
            <v>26.2</v>
          </cell>
          <cell r="C100">
            <v>35.700000000000003</v>
          </cell>
          <cell r="D100">
            <v>38</v>
          </cell>
          <cell r="E100">
            <v>30.8</v>
          </cell>
          <cell r="F100">
            <v>20.400000000000002</v>
          </cell>
          <cell r="G100">
            <v>10.6</v>
          </cell>
        </row>
        <row r="101">
          <cell r="A101" t="str">
            <v>24:Q1</v>
          </cell>
          <cell r="B101">
            <v>21.552814000000001</v>
          </cell>
          <cell r="C101">
            <v>35.198591</v>
          </cell>
          <cell r="D101">
            <v>37.069285999999998</v>
          </cell>
          <cell r="E101">
            <v>32.297877</v>
          </cell>
          <cell r="F101">
            <v>22.613078000000002</v>
          </cell>
          <cell r="G101">
            <v>12.170159</v>
          </cell>
        </row>
        <row r="102">
          <cell r="A102" t="str">
            <v>24:Q2</v>
          </cell>
          <cell r="B102">
            <v>25.339421000000002</v>
          </cell>
          <cell r="C102">
            <v>39.181139000000002</v>
          </cell>
          <cell r="D102">
            <v>39.985726999999997</v>
          </cell>
          <cell r="E102">
            <v>37.045032999999997</v>
          </cell>
          <cell r="F102">
            <v>21.887913999999999</v>
          </cell>
          <cell r="G102">
            <v>11.942307</v>
          </cell>
        </row>
        <row r="103">
          <cell r="A103" t="str">
            <v>24:Q3</v>
          </cell>
          <cell r="B103">
            <v>27.195945999999999</v>
          </cell>
          <cell r="C103">
            <v>40.054569999999998</v>
          </cell>
          <cell r="D103">
            <v>40.848239</v>
          </cell>
          <cell r="E103">
            <v>34.948897000000002</v>
          </cell>
          <cell r="F103">
            <v>23.012784</v>
          </cell>
          <cell r="G103">
            <v>12.674606000000001</v>
          </cell>
        </row>
        <row r="104">
          <cell r="A104" t="str">
            <v>24:Q4</v>
          </cell>
          <cell r="B104">
            <v>25.576879999999999</v>
          </cell>
          <cell r="C104">
            <v>38.683117000000003</v>
          </cell>
          <cell r="D104">
            <v>38.569082999999999</v>
          </cell>
          <cell r="E104">
            <v>34.116132</v>
          </cell>
          <cell r="F104">
            <v>23.449742000000001</v>
          </cell>
          <cell r="G104">
            <v>11.090738</v>
          </cell>
        </row>
        <row r="105">
          <cell r="A105" t="str">
            <v>25:Q1</v>
          </cell>
          <cell r="B105">
            <v>22.967106000000001</v>
          </cell>
          <cell r="C105">
            <v>36.207554000000002</v>
          </cell>
          <cell r="D105">
            <v>36.291524000000003</v>
          </cell>
          <cell r="E105">
            <v>31.064042000000001</v>
          </cell>
          <cell r="F105">
            <v>22.75684</v>
          </cell>
          <cell r="G105">
            <v>12.122601</v>
          </cell>
        </row>
        <row r="106">
          <cell r="A106" t="str">
            <v>25:Q2</v>
          </cell>
          <cell r="B106">
            <v>26.91</v>
          </cell>
          <cell r="C106">
            <v>42.78</v>
          </cell>
          <cell r="D106">
            <v>41.22</v>
          </cell>
          <cell r="E106">
            <v>35.950000000000003</v>
          </cell>
          <cell r="F106">
            <v>25.49</v>
          </cell>
          <cell r="G106">
            <v>15.21</v>
          </cell>
        </row>
        <row r="107">
          <cell r="A107" t="str">
            <v>25:Q3</v>
          </cell>
          <cell r="B107">
            <v>27.56</v>
          </cell>
          <cell r="C107">
            <v>40.11</v>
          </cell>
          <cell r="D107">
            <v>43.49</v>
          </cell>
          <cell r="E107">
            <v>35.25</v>
          </cell>
          <cell r="F107">
            <v>23.82</v>
          </cell>
          <cell r="G107">
            <v>13.41</v>
          </cell>
        </row>
        <row r="108">
          <cell r="A108" t="str">
            <v>25:Q4</v>
          </cell>
          <cell r="B108">
            <v>27.68</v>
          </cell>
          <cell r="C108">
            <v>39.44</v>
          </cell>
          <cell r="D108">
            <v>41.03</v>
          </cell>
          <cell r="E108">
            <v>33.29</v>
          </cell>
          <cell r="F108">
            <v>25.21</v>
          </cell>
          <cell r="G108">
            <v>13.77</v>
          </cell>
        </row>
        <row r="109">
          <cell r="A109" t="str">
            <v>26:Q1</v>
          </cell>
          <cell r="B109">
            <v>25.29</v>
          </cell>
          <cell r="C109">
            <v>38.56</v>
          </cell>
          <cell r="D109">
            <v>39.96</v>
          </cell>
          <cell r="E109">
            <v>38.29</v>
          </cell>
          <cell r="F109">
            <v>25.27</v>
          </cell>
          <cell r="G109">
            <v>14.18</v>
          </cell>
        </row>
      </sheetData>
      <sheetData sheetId="39" refreshError="1"/>
      <sheetData sheetId="40">
        <row r="1">
          <cell r="A1" t="str">
            <v>Total Mortgage Orginations by Age</v>
          </cell>
        </row>
        <row r="2">
          <cell r="A2" t="str">
            <v>Billions of Dollars</v>
          </cell>
        </row>
        <row r="4">
          <cell r="A4" t="str">
            <v>quarter</v>
          </cell>
          <cell r="B4" t="str">
            <v>18-29</v>
          </cell>
          <cell r="C4" t="str">
            <v>30-39</v>
          </cell>
          <cell r="D4" t="str">
            <v>40-49</v>
          </cell>
          <cell r="E4" t="str">
            <v>50-59</v>
          </cell>
          <cell r="F4" t="str">
            <v>60-69</v>
          </cell>
          <cell r="G4" t="str">
            <v>70+</v>
          </cell>
        </row>
        <row r="5">
          <cell r="A5" t="str">
            <v>00:Q1</v>
          </cell>
          <cell r="B5">
            <v>30.04</v>
          </cell>
          <cell r="C5">
            <v>90.64</v>
          </cell>
          <cell r="D5">
            <v>91.27</v>
          </cell>
          <cell r="E5">
            <v>59.57</v>
          </cell>
          <cell r="F5">
            <v>22.73</v>
          </cell>
          <cell r="G5">
            <v>11.48</v>
          </cell>
        </row>
        <row r="6">
          <cell r="A6" t="str">
            <v>00:Q2</v>
          </cell>
          <cell r="B6">
            <v>28.01</v>
          </cell>
          <cell r="C6">
            <v>76.11</v>
          </cell>
          <cell r="D6">
            <v>67.2</v>
          </cell>
          <cell r="E6">
            <v>46.07</v>
          </cell>
          <cell r="F6">
            <v>12.5</v>
          </cell>
          <cell r="G6">
            <v>7.38</v>
          </cell>
        </row>
        <row r="7">
          <cell r="A7" t="str">
            <v>00:Q3</v>
          </cell>
          <cell r="B7">
            <v>35.61</v>
          </cell>
          <cell r="C7">
            <v>95.79</v>
          </cell>
          <cell r="D7">
            <v>83.21</v>
          </cell>
          <cell r="E7">
            <v>50.19</v>
          </cell>
          <cell r="F7">
            <v>20.45</v>
          </cell>
          <cell r="G7">
            <v>9.218</v>
          </cell>
        </row>
        <row r="8">
          <cell r="A8" t="str">
            <v>00:Q4</v>
          </cell>
          <cell r="B8">
            <v>36.409999999999997</v>
          </cell>
          <cell r="C8">
            <v>96.24</v>
          </cell>
          <cell r="D8">
            <v>92.77</v>
          </cell>
          <cell r="E8">
            <v>48.08</v>
          </cell>
          <cell r="F8">
            <v>15.66</v>
          </cell>
          <cell r="G8">
            <v>9.49</v>
          </cell>
        </row>
        <row r="9">
          <cell r="A9" t="str">
            <v>01:Q1</v>
          </cell>
          <cell r="B9">
            <v>34.479999999999997</v>
          </cell>
          <cell r="C9">
            <v>103.7</v>
          </cell>
          <cell r="D9">
            <v>101.8</v>
          </cell>
          <cell r="E9">
            <v>64.16</v>
          </cell>
          <cell r="F9">
            <v>21.08</v>
          </cell>
          <cell r="G9">
            <v>11.48</v>
          </cell>
        </row>
        <row r="10">
          <cell r="A10" t="str">
            <v>01:Q2</v>
          </cell>
          <cell r="B10">
            <v>30.93</v>
          </cell>
          <cell r="C10">
            <v>100.3</v>
          </cell>
          <cell r="D10">
            <v>98.05</v>
          </cell>
          <cell r="E10">
            <v>63.82</v>
          </cell>
          <cell r="F10">
            <v>21.59</v>
          </cell>
          <cell r="G10">
            <v>11.8</v>
          </cell>
        </row>
        <row r="11">
          <cell r="A11" t="str">
            <v>01:Q3</v>
          </cell>
          <cell r="B11">
            <v>48.56</v>
          </cell>
          <cell r="C11">
            <v>155</v>
          </cell>
          <cell r="D11">
            <v>155.69999999999999</v>
          </cell>
          <cell r="E11">
            <v>91.32</v>
          </cell>
          <cell r="F11">
            <v>32.36</v>
          </cell>
          <cell r="G11">
            <v>10.62</v>
          </cell>
        </row>
        <row r="12">
          <cell r="A12" t="str">
            <v>01:Q4</v>
          </cell>
          <cell r="B12">
            <v>46.31</v>
          </cell>
          <cell r="C12">
            <v>149.9</v>
          </cell>
          <cell r="D12">
            <v>144.30000000000001</v>
          </cell>
          <cell r="E12">
            <v>92.12</v>
          </cell>
          <cell r="F12">
            <v>28.21</v>
          </cell>
          <cell r="G12">
            <v>12.87</v>
          </cell>
        </row>
        <row r="13">
          <cell r="A13" t="str">
            <v>02:Q1</v>
          </cell>
          <cell r="B13">
            <v>51.59</v>
          </cell>
          <cell r="C13">
            <v>204.3</v>
          </cell>
          <cell r="D13">
            <v>209.1</v>
          </cell>
          <cell r="E13">
            <v>135.1</v>
          </cell>
          <cell r="F13">
            <v>41.36</v>
          </cell>
          <cell r="G13">
            <v>18.3</v>
          </cell>
        </row>
        <row r="14">
          <cell r="A14" t="str">
            <v>02:Q2</v>
          </cell>
          <cell r="B14">
            <v>45.18</v>
          </cell>
          <cell r="C14">
            <v>165.9</v>
          </cell>
          <cell r="D14">
            <v>160</v>
          </cell>
          <cell r="E14">
            <v>105.2</v>
          </cell>
          <cell r="F14">
            <v>35.270000000000003</v>
          </cell>
          <cell r="G14">
            <v>14.92</v>
          </cell>
        </row>
        <row r="15">
          <cell r="A15" t="str">
            <v>02:Q3</v>
          </cell>
          <cell r="B15">
            <v>51.38</v>
          </cell>
          <cell r="C15">
            <v>185.4</v>
          </cell>
          <cell r="D15">
            <v>192.1</v>
          </cell>
          <cell r="E15">
            <v>112.4</v>
          </cell>
          <cell r="F15">
            <v>35.229999999999997</v>
          </cell>
          <cell r="G15">
            <v>16.52</v>
          </cell>
        </row>
        <row r="16">
          <cell r="A16" t="str">
            <v>02:Q4</v>
          </cell>
          <cell r="B16">
            <v>56.24</v>
          </cell>
          <cell r="C16">
            <v>211.9</v>
          </cell>
          <cell r="D16">
            <v>215.3</v>
          </cell>
          <cell r="E16">
            <v>122.5</v>
          </cell>
          <cell r="F16">
            <v>46.75</v>
          </cell>
          <cell r="G16">
            <v>16.77</v>
          </cell>
        </row>
        <row r="17">
          <cell r="A17" t="str">
            <v>03:Q1</v>
          </cell>
          <cell r="B17">
            <v>60.22</v>
          </cell>
          <cell r="C17">
            <v>271.89999999999998</v>
          </cell>
          <cell r="D17">
            <v>310.89999999999998</v>
          </cell>
          <cell r="E17">
            <v>208.4</v>
          </cell>
          <cell r="F17">
            <v>72.11</v>
          </cell>
          <cell r="G17">
            <v>19.670000000000002</v>
          </cell>
        </row>
        <row r="18">
          <cell r="A18" t="str">
            <v>03:Q2</v>
          </cell>
          <cell r="B18">
            <v>61.78</v>
          </cell>
          <cell r="C18">
            <v>278</v>
          </cell>
          <cell r="D18">
            <v>332.4</v>
          </cell>
          <cell r="E18">
            <v>220.6</v>
          </cell>
          <cell r="F18">
            <v>75.19</v>
          </cell>
          <cell r="G18">
            <v>24.89</v>
          </cell>
        </row>
        <row r="19">
          <cell r="A19" t="str">
            <v>03:Q3</v>
          </cell>
          <cell r="B19">
            <v>79.7</v>
          </cell>
          <cell r="C19">
            <v>295.60000000000002</v>
          </cell>
          <cell r="D19">
            <v>334</v>
          </cell>
          <cell r="E19">
            <v>217.6</v>
          </cell>
          <cell r="F19">
            <v>81.94</v>
          </cell>
          <cell r="G19">
            <v>26.67</v>
          </cell>
        </row>
        <row r="20">
          <cell r="A20" t="str">
            <v>03:Q4</v>
          </cell>
          <cell r="B20">
            <v>79.11</v>
          </cell>
          <cell r="C20">
            <v>309</v>
          </cell>
          <cell r="D20">
            <v>322.89999999999998</v>
          </cell>
          <cell r="E20">
            <v>194.2</v>
          </cell>
          <cell r="F20">
            <v>70.77</v>
          </cell>
          <cell r="G20">
            <v>23.96</v>
          </cell>
        </row>
        <row r="21">
          <cell r="A21" t="str">
            <v>04:Q1</v>
          </cell>
          <cell r="B21">
            <v>49.16</v>
          </cell>
          <cell r="C21">
            <v>176.6</v>
          </cell>
          <cell r="D21">
            <v>204.7</v>
          </cell>
          <cell r="E21">
            <v>136.80000000000001</v>
          </cell>
          <cell r="F21">
            <v>48.63</v>
          </cell>
          <cell r="G21">
            <v>17.670000000000002</v>
          </cell>
        </row>
        <row r="22">
          <cell r="A22" t="str">
            <v>04:Q2</v>
          </cell>
          <cell r="B22">
            <v>60.34</v>
          </cell>
          <cell r="C22">
            <v>201.7</v>
          </cell>
          <cell r="D22">
            <v>215.6</v>
          </cell>
          <cell r="E22">
            <v>138.30000000000001</v>
          </cell>
          <cell r="F22">
            <v>55.86</v>
          </cell>
          <cell r="G22">
            <v>16.940000000000001</v>
          </cell>
        </row>
        <row r="23">
          <cell r="A23" t="str">
            <v>04:Q3</v>
          </cell>
          <cell r="B23">
            <v>77.03</v>
          </cell>
          <cell r="C23">
            <v>230.9</v>
          </cell>
          <cell r="D23">
            <v>238.4</v>
          </cell>
          <cell r="E23">
            <v>149.80000000000001</v>
          </cell>
          <cell r="F23">
            <v>58.27</v>
          </cell>
          <cell r="G23">
            <v>18.87</v>
          </cell>
        </row>
        <row r="24">
          <cell r="A24" t="str">
            <v>04:Q4</v>
          </cell>
          <cell r="B24">
            <v>78.290000000000006</v>
          </cell>
          <cell r="C24">
            <v>194.8</v>
          </cell>
          <cell r="D24">
            <v>201.3</v>
          </cell>
          <cell r="E24">
            <v>121.4</v>
          </cell>
          <cell r="F24">
            <v>45.93</v>
          </cell>
          <cell r="G24">
            <v>15.69</v>
          </cell>
        </row>
        <row r="25">
          <cell r="A25" t="str">
            <v>05:Q1</v>
          </cell>
          <cell r="B25">
            <v>56.68</v>
          </cell>
          <cell r="C25">
            <v>182.4</v>
          </cell>
          <cell r="D25">
            <v>203.7</v>
          </cell>
          <cell r="E25">
            <v>137.80000000000001</v>
          </cell>
          <cell r="F25">
            <v>50.51</v>
          </cell>
          <cell r="G25">
            <v>19.53</v>
          </cell>
        </row>
        <row r="26">
          <cell r="A26" t="str">
            <v>05:Q2</v>
          </cell>
          <cell r="B26">
            <v>60.31</v>
          </cell>
          <cell r="C26">
            <v>187</v>
          </cell>
          <cell r="D26">
            <v>186</v>
          </cell>
          <cell r="E26">
            <v>130.80000000000001</v>
          </cell>
          <cell r="F26">
            <v>45.29</v>
          </cell>
          <cell r="G26">
            <v>16.02</v>
          </cell>
        </row>
        <row r="27">
          <cell r="A27" t="str">
            <v>05:Q3</v>
          </cell>
          <cell r="B27">
            <v>79.540000000000006</v>
          </cell>
          <cell r="C27">
            <v>221.4</v>
          </cell>
          <cell r="D27">
            <v>227</v>
          </cell>
          <cell r="E27">
            <v>153.5</v>
          </cell>
          <cell r="F27">
            <v>53.78</v>
          </cell>
          <cell r="G27">
            <v>16.670000000000002</v>
          </cell>
        </row>
        <row r="28">
          <cell r="A28" t="str">
            <v>05:Q4</v>
          </cell>
          <cell r="B28">
            <v>79.86</v>
          </cell>
          <cell r="C28">
            <v>230.1</v>
          </cell>
          <cell r="D28">
            <v>251.8</v>
          </cell>
          <cell r="E28">
            <v>159.9</v>
          </cell>
          <cell r="F28">
            <v>56.36</v>
          </cell>
          <cell r="G28">
            <v>14.43</v>
          </cell>
        </row>
        <row r="29">
          <cell r="A29" t="str">
            <v>06:Q1</v>
          </cell>
          <cell r="B29">
            <v>59.89</v>
          </cell>
          <cell r="C29">
            <v>182.8</v>
          </cell>
          <cell r="D29">
            <v>218</v>
          </cell>
          <cell r="E29">
            <v>132.30000000000001</v>
          </cell>
          <cell r="F29">
            <v>55.84</v>
          </cell>
          <cell r="G29">
            <v>17.59</v>
          </cell>
        </row>
        <row r="30">
          <cell r="A30" t="str">
            <v>06:Q2</v>
          </cell>
          <cell r="B30">
            <v>67.64</v>
          </cell>
          <cell r="C30">
            <v>192.1</v>
          </cell>
          <cell r="D30">
            <v>212</v>
          </cell>
          <cell r="E30">
            <v>151.9</v>
          </cell>
          <cell r="F30">
            <v>74.95</v>
          </cell>
          <cell r="G30">
            <v>22.35</v>
          </cell>
        </row>
        <row r="31">
          <cell r="A31" t="str">
            <v>06:Q3</v>
          </cell>
          <cell r="B31">
            <v>72.36</v>
          </cell>
          <cell r="C31">
            <v>207.5</v>
          </cell>
          <cell r="D31">
            <v>213.1</v>
          </cell>
          <cell r="E31">
            <v>136.9</v>
          </cell>
          <cell r="F31">
            <v>60.83</v>
          </cell>
          <cell r="G31">
            <v>17.309999999999999</v>
          </cell>
        </row>
        <row r="32">
          <cell r="A32" t="str">
            <v>06:Q4</v>
          </cell>
          <cell r="B32">
            <v>65.47</v>
          </cell>
          <cell r="C32">
            <v>188</v>
          </cell>
          <cell r="D32">
            <v>186.9</v>
          </cell>
          <cell r="E32">
            <v>127.8</v>
          </cell>
          <cell r="F32">
            <v>51.49</v>
          </cell>
          <cell r="G32">
            <v>17.22</v>
          </cell>
        </row>
        <row r="33">
          <cell r="A33" t="str">
            <v>07:Q1</v>
          </cell>
          <cell r="B33">
            <v>66.34</v>
          </cell>
          <cell r="C33">
            <v>207.2</v>
          </cell>
          <cell r="D33">
            <v>219.9</v>
          </cell>
          <cell r="E33">
            <v>161.5</v>
          </cell>
          <cell r="F33">
            <v>70.7</v>
          </cell>
          <cell r="G33">
            <v>22.09</v>
          </cell>
        </row>
        <row r="34">
          <cell r="A34" t="str">
            <v>07:Q2</v>
          </cell>
          <cell r="B34">
            <v>55.48</v>
          </cell>
          <cell r="C34">
            <v>170.9</v>
          </cell>
          <cell r="D34">
            <v>186.8</v>
          </cell>
          <cell r="E34">
            <v>150.30000000000001</v>
          </cell>
          <cell r="F34">
            <v>58.88</v>
          </cell>
          <cell r="G34">
            <v>19.14</v>
          </cell>
        </row>
        <row r="35">
          <cell r="A35" t="str">
            <v>07:Q3</v>
          </cell>
          <cell r="B35">
            <v>73.38</v>
          </cell>
          <cell r="C35">
            <v>196.6</v>
          </cell>
          <cell r="D35">
            <v>201.8</v>
          </cell>
          <cell r="E35">
            <v>146.80000000000001</v>
          </cell>
          <cell r="F35">
            <v>57.46</v>
          </cell>
          <cell r="G35">
            <v>23.21</v>
          </cell>
        </row>
        <row r="36">
          <cell r="A36" t="str">
            <v>07:Q4</v>
          </cell>
          <cell r="B36">
            <v>52.12</v>
          </cell>
          <cell r="C36">
            <v>131.9</v>
          </cell>
          <cell r="D36">
            <v>142.1</v>
          </cell>
          <cell r="E36">
            <v>119.9</v>
          </cell>
          <cell r="F36">
            <v>52.26</v>
          </cell>
          <cell r="G36">
            <v>14.66</v>
          </cell>
        </row>
        <row r="37">
          <cell r="A37" t="str">
            <v>08:Q1</v>
          </cell>
          <cell r="B37">
            <v>42.69</v>
          </cell>
          <cell r="C37">
            <v>115.6</v>
          </cell>
          <cell r="D37">
            <v>129.6</v>
          </cell>
          <cell r="E37">
            <v>100.7</v>
          </cell>
          <cell r="F37">
            <v>45.2</v>
          </cell>
          <cell r="G37">
            <v>16.75</v>
          </cell>
        </row>
        <row r="38">
          <cell r="A38" t="str">
            <v>08:Q2</v>
          </cell>
          <cell r="B38">
            <v>48.76</v>
          </cell>
          <cell r="C38">
            <v>149.9</v>
          </cell>
          <cell r="D38">
            <v>159</v>
          </cell>
          <cell r="E38">
            <v>122.3</v>
          </cell>
          <cell r="F38">
            <v>60.45</v>
          </cell>
          <cell r="G38">
            <v>16.73</v>
          </cell>
        </row>
        <row r="39">
          <cell r="A39" t="str">
            <v>08:Q3</v>
          </cell>
          <cell r="B39">
            <v>39.32</v>
          </cell>
          <cell r="C39">
            <v>110.1</v>
          </cell>
          <cell r="D39">
            <v>109.6</v>
          </cell>
          <cell r="E39">
            <v>75.650000000000006</v>
          </cell>
          <cell r="F39">
            <v>36.799999999999997</v>
          </cell>
          <cell r="G39">
            <v>10.47</v>
          </cell>
        </row>
        <row r="40">
          <cell r="A40" t="str">
            <v>08:Q4</v>
          </cell>
          <cell r="B40">
            <v>36.72</v>
          </cell>
          <cell r="C40">
            <v>87.57</v>
          </cell>
          <cell r="D40">
            <v>76.55</v>
          </cell>
          <cell r="E40">
            <v>64.53</v>
          </cell>
          <cell r="F40">
            <v>23.78</v>
          </cell>
          <cell r="G40">
            <v>9.4380000000000006</v>
          </cell>
        </row>
        <row r="41">
          <cell r="A41" t="str">
            <v>09:Q1</v>
          </cell>
          <cell r="B41">
            <v>31.42</v>
          </cell>
          <cell r="C41">
            <v>96.02</v>
          </cell>
          <cell r="D41">
            <v>122.5</v>
          </cell>
          <cell r="E41">
            <v>84.22</v>
          </cell>
          <cell r="F41">
            <v>43.35</v>
          </cell>
          <cell r="G41">
            <v>18.97</v>
          </cell>
        </row>
        <row r="42">
          <cell r="A42" t="str">
            <v>09:Q2</v>
          </cell>
          <cell r="B42">
            <v>36.33</v>
          </cell>
          <cell r="C42">
            <v>128.30000000000001</v>
          </cell>
          <cell r="D42">
            <v>165.3</v>
          </cell>
          <cell r="E42">
            <v>115.3</v>
          </cell>
          <cell r="F42">
            <v>51.42</v>
          </cell>
          <cell r="G42">
            <v>16.29</v>
          </cell>
        </row>
        <row r="43">
          <cell r="A43" t="str">
            <v>09:Q3</v>
          </cell>
          <cell r="B43">
            <v>41.34</v>
          </cell>
          <cell r="C43">
            <v>131.30000000000001</v>
          </cell>
          <cell r="D43">
            <v>155.6</v>
          </cell>
          <cell r="E43">
            <v>114.8</v>
          </cell>
          <cell r="F43">
            <v>49.89</v>
          </cell>
          <cell r="G43">
            <v>14.98</v>
          </cell>
        </row>
        <row r="44">
          <cell r="A44" t="str">
            <v>09:Q4</v>
          </cell>
          <cell r="B44">
            <v>40.31</v>
          </cell>
          <cell r="C44">
            <v>98.21</v>
          </cell>
          <cell r="D44">
            <v>111.1</v>
          </cell>
          <cell r="E44">
            <v>79.709999999999994</v>
          </cell>
          <cell r="F44">
            <v>39.880000000000003</v>
          </cell>
          <cell r="G44">
            <v>14.28</v>
          </cell>
        </row>
        <row r="45">
          <cell r="A45" t="str">
            <v>10:Q1</v>
          </cell>
          <cell r="B45">
            <v>36.53</v>
          </cell>
          <cell r="C45">
            <v>97.92</v>
          </cell>
          <cell r="D45">
            <v>108.4</v>
          </cell>
          <cell r="E45">
            <v>80.2</v>
          </cell>
          <cell r="F45">
            <v>42.1</v>
          </cell>
          <cell r="G45">
            <v>13.22</v>
          </cell>
        </row>
        <row r="46">
          <cell r="A46" t="str">
            <v>10:Q2</v>
          </cell>
          <cell r="B46">
            <v>30.76</v>
          </cell>
          <cell r="C46">
            <v>92.47</v>
          </cell>
          <cell r="D46">
            <v>96.64</v>
          </cell>
          <cell r="E46">
            <v>83.43</v>
          </cell>
          <cell r="F46">
            <v>44.43</v>
          </cell>
          <cell r="G46">
            <v>16.829999999999998</v>
          </cell>
        </row>
        <row r="47">
          <cell r="A47" t="str">
            <v>10:Q3</v>
          </cell>
          <cell r="B47">
            <v>34.9</v>
          </cell>
          <cell r="C47">
            <v>99.76</v>
          </cell>
          <cell r="D47">
            <v>115.4</v>
          </cell>
          <cell r="E47">
            <v>83.06</v>
          </cell>
          <cell r="F47">
            <v>38.99</v>
          </cell>
          <cell r="G47">
            <v>14.7</v>
          </cell>
        </row>
        <row r="48">
          <cell r="A48" t="str">
            <v>10:Q4</v>
          </cell>
          <cell r="B48">
            <v>30.68</v>
          </cell>
          <cell r="C48">
            <v>110.9</v>
          </cell>
          <cell r="D48">
            <v>140.30000000000001</v>
          </cell>
          <cell r="E48">
            <v>108.5</v>
          </cell>
          <cell r="F48">
            <v>54.62</v>
          </cell>
          <cell r="G48">
            <v>17.47</v>
          </cell>
        </row>
        <row r="49">
          <cell r="A49" t="str">
            <v>11:Q1</v>
          </cell>
          <cell r="B49">
            <v>22.76</v>
          </cell>
          <cell r="C49">
            <v>110.7</v>
          </cell>
          <cell r="D49">
            <v>165.3</v>
          </cell>
          <cell r="E49">
            <v>116.7</v>
          </cell>
          <cell r="F49">
            <v>62.47</v>
          </cell>
          <cell r="G49">
            <v>18.100000000000001</v>
          </cell>
        </row>
        <row r="50">
          <cell r="A50" t="str">
            <v>11:Q2</v>
          </cell>
          <cell r="B50">
            <v>19.32</v>
          </cell>
          <cell r="C50">
            <v>81.209999999999994</v>
          </cell>
          <cell r="D50">
            <v>104.9</v>
          </cell>
          <cell r="E50">
            <v>84.75</v>
          </cell>
          <cell r="F50">
            <v>46.75</v>
          </cell>
          <cell r="G50">
            <v>14.46</v>
          </cell>
        </row>
        <row r="51">
          <cell r="A51" t="str">
            <v>11:Q3</v>
          </cell>
          <cell r="B51">
            <v>23.93</v>
          </cell>
          <cell r="C51">
            <v>62.5</v>
          </cell>
          <cell r="D51">
            <v>89.54</v>
          </cell>
          <cell r="E51">
            <v>62.61</v>
          </cell>
          <cell r="F51">
            <v>40.97</v>
          </cell>
          <cell r="G51">
            <v>12.66</v>
          </cell>
        </row>
        <row r="52">
          <cell r="A52" t="str">
            <v>11:Q4</v>
          </cell>
          <cell r="B52">
            <v>22.94</v>
          </cell>
          <cell r="C52">
            <v>98.99</v>
          </cell>
          <cell r="D52">
            <v>125.5</v>
          </cell>
          <cell r="E52">
            <v>89.04</v>
          </cell>
          <cell r="F52">
            <v>52.8</v>
          </cell>
          <cell r="G52">
            <v>12.89</v>
          </cell>
        </row>
        <row r="53">
          <cell r="A53" t="str">
            <v>12:Q1</v>
          </cell>
          <cell r="B53">
            <v>19.77</v>
          </cell>
          <cell r="C53">
            <v>90.08</v>
          </cell>
          <cell r="D53">
            <v>126.6</v>
          </cell>
          <cell r="E53">
            <v>97.15</v>
          </cell>
          <cell r="F53">
            <v>57.96</v>
          </cell>
          <cell r="G53">
            <v>17.73</v>
          </cell>
        </row>
        <row r="54">
          <cell r="A54" t="str">
            <v>12:Q2</v>
          </cell>
          <cell r="B54">
            <v>21.71</v>
          </cell>
          <cell r="C54">
            <v>98.83</v>
          </cell>
          <cell r="D54">
            <v>139.4</v>
          </cell>
          <cell r="E54">
            <v>111.1</v>
          </cell>
          <cell r="F54">
            <v>69.19</v>
          </cell>
          <cell r="G54">
            <v>22.04</v>
          </cell>
        </row>
        <row r="55">
          <cell r="A55" t="str">
            <v>12:Q3</v>
          </cell>
          <cell r="B55">
            <v>30.11</v>
          </cell>
          <cell r="C55">
            <v>116.1</v>
          </cell>
          <cell r="D55">
            <v>156</v>
          </cell>
          <cell r="E55">
            <v>121.2</v>
          </cell>
          <cell r="F55">
            <v>73.98</v>
          </cell>
          <cell r="G55">
            <v>22.09</v>
          </cell>
        </row>
        <row r="56">
          <cell r="A56" t="str">
            <v>12:Q4</v>
          </cell>
          <cell r="B56">
            <v>37.229999999999997</v>
          </cell>
          <cell r="C56">
            <v>136.4</v>
          </cell>
          <cell r="D56">
            <v>168.2</v>
          </cell>
          <cell r="E56">
            <v>128.69999999999999</v>
          </cell>
          <cell r="F56">
            <v>62.64</v>
          </cell>
          <cell r="G56">
            <v>19.03</v>
          </cell>
        </row>
        <row r="57">
          <cell r="A57" t="str">
            <v>13:Q1</v>
          </cell>
          <cell r="B57">
            <v>25</v>
          </cell>
          <cell r="C57">
            <v>126.7</v>
          </cell>
          <cell r="D57">
            <v>171.2</v>
          </cell>
          <cell r="E57">
            <v>148</v>
          </cell>
          <cell r="F57">
            <v>75.900000000000006</v>
          </cell>
          <cell r="G57">
            <v>27.99</v>
          </cell>
        </row>
        <row r="58">
          <cell r="A58" t="str">
            <v>13:Q2</v>
          </cell>
          <cell r="B58">
            <v>31.75</v>
          </cell>
          <cell r="C58">
            <v>125.1</v>
          </cell>
          <cell r="D58">
            <v>166.5</v>
          </cell>
          <cell r="E58">
            <v>134.80000000000001</v>
          </cell>
          <cell r="F58">
            <v>85.92</v>
          </cell>
          <cell r="G58">
            <v>30.99</v>
          </cell>
        </row>
        <row r="59">
          <cell r="A59" t="str">
            <v>13:Q3</v>
          </cell>
          <cell r="B59">
            <v>34.15</v>
          </cell>
          <cell r="C59">
            <v>122.7</v>
          </cell>
          <cell r="D59">
            <v>158.9</v>
          </cell>
          <cell r="E59">
            <v>128.1</v>
          </cell>
          <cell r="F59">
            <v>76.03</v>
          </cell>
          <cell r="G59">
            <v>26.28</v>
          </cell>
        </row>
        <row r="60">
          <cell r="A60" t="str">
            <v>13:Q4</v>
          </cell>
          <cell r="B60">
            <v>32.26</v>
          </cell>
          <cell r="C60">
            <v>106.8</v>
          </cell>
          <cell r="D60">
            <v>126.6</v>
          </cell>
          <cell r="E60">
            <v>107</v>
          </cell>
          <cell r="F60">
            <v>51.56</v>
          </cell>
          <cell r="G60">
            <v>22.12</v>
          </cell>
        </row>
        <row r="61">
          <cell r="A61" t="str">
            <v>14:Q1</v>
          </cell>
          <cell r="B61">
            <v>24.19</v>
          </cell>
          <cell r="C61">
            <v>82.56</v>
          </cell>
          <cell r="D61">
            <v>92.3</v>
          </cell>
          <cell r="E61">
            <v>77.58</v>
          </cell>
          <cell r="F61">
            <v>41.23</v>
          </cell>
          <cell r="G61">
            <v>11.63</v>
          </cell>
        </row>
        <row r="62">
          <cell r="A62" t="str">
            <v>14:Q2</v>
          </cell>
          <cell r="B62">
            <v>23.56</v>
          </cell>
          <cell r="C62">
            <v>72.709999999999994</v>
          </cell>
          <cell r="D62">
            <v>79.63</v>
          </cell>
          <cell r="E62">
            <v>60.59</v>
          </cell>
          <cell r="F62">
            <v>37.99</v>
          </cell>
          <cell r="G62">
            <v>10.57</v>
          </cell>
        </row>
        <row r="63">
          <cell r="A63" t="str">
            <v>14:Q3</v>
          </cell>
          <cell r="B63">
            <v>26.7</v>
          </cell>
          <cell r="C63">
            <v>93.24</v>
          </cell>
          <cell r="D63">
            <v>92.14</v>
          </cell>
          <cell r="E63">
            <v>71.13</v>
          </cell>
          <cell r="F63">
            <v>39.86</v>
          </cell>
          <cell r="G63">
            <v>11.99</v>
          </cell>
        </row>
        <row r="64">
          <cell r="A64" t="str">
            <v>14:Q4</v>
          </cell>
          <cell r="B64">
            <v>31.05</v>
          </cell>
          <cell r="C64">
            <v>97.57</v>
          </cell>
          <cell r="D64">
            <v>96.8</v>
          </cell>
          <cell r="E64">
            <v>71.98</v>
          </cell>
          <cell r="F64">
            <v>41.08</v>
          </cell>
          <cell r="G64">
            <v>13.52</v>
          </cell>
        </row>
        <row r="65">
          <cell r="A65" t="str">
            <v>15:Q1</v>
          </cell>
          <cell r="B65">
            <v>22.56</v>
          </cell>
          <cell r="C65">
            <v>95.03</v>
          </cell>
          <cell r="D65">
            <v>106.1</v>
          </cell>
          <cell r="E65">
            <v>70.61</v>
          </cell>
          <cell r="F65">
            <v>55.07</v>
          </cell>
          <cell r="G65">
            <v>16.309999999999999</v>
          </cell>
        </row>
        <row r="66">
          <cell r="A66" t="str">
            <v>15:Q2</v>
          </cell>
          <cell r="B66">
            <v>34.549999999999997</v>
          </cell>
          <cell r="C66">
            <v>121.7</v>
          </cell>
          <cell r="D66">
            <v>134.4</v>
          </cell>
          <cell r="E66">
            <v>102.5</v>
          </cell>
          <cell r="F66">
            <v>51.62</v>
          </cell>
          <cell r="G66">
            <v>20.440000000000001</v>
          </cell>
        </row>
        <row r="67">
          <cell r="A67" t="str">
            <v>15:Q3</v>
          </cell>
          <cell r="B67">
            <v>41.49</v>
          </cell>
          <cell r="C67">
            <v>135.69999999999999</v>
          </cell>
          <cell r="D67">
            <v>141.19999999999999</v>
          </cell>
          <cell r="E67">
            <v>109.3</v>
          </cell>
          <cell r="F67">
            <v>50.52</v>
          </cell>
          <cell r="G67">
            <v>21.36</v>
          </cell>
        </row>
        <row r="68">
          <cell r="A68" t="str">
            <v>15:Q4</v>
          </cell>
          <cell r="B68">
            <v>40.11</v>
          </cell>
          <cell r="C68">
            <v>117.2</v>
          </cell>
          <cell r="D68">
            <v>113.2</v>
          </cell>
          <cell r="E68">
            <v>98.28</v>
          </cell>
          <cell r="F68">
            <v>51.15</v>
          </cell>
          <cell r="G68">
            <v>16.64</v>
          </cell>
        </row>
        <row r="69">
          <cell r="A69" t="str">
            <v>16:Q1</v>
          </cell>
          <cell r="B69">
            <v>25.33</v>
          </cell>
          <cell r="C69">
            <v>95.94</v>
          </cell>
          <cell r="D69">
            <v>102.7</v>
          </cell>
          <cell r="E69">
            <v>91.98</v>
          </cell>
          <cell r="F69">
            <v>53.69</v>
          </cell>
          <cell r="G69">
            <v>19.27</v>
          </cell>
        </row>
        <row r="70">
          <cell r="A70" t="str">
            <v>16:Q2</v>
          </cell>
          <cell r="B70">
            <v>32.06</v>
          </cell>
          <cell r="C70">
            <v>113.1</v>
          </cell>
          <cell r="D70">
            <v>123.2</v>
          </cell>
          <cell r="E70">
            <v>88.5</v>
          </cell>
          <cell r="F70">
            <v>44.96</v>
          </cell>
          <cell r="G70">
            <v>25</v>
          </cell>
        </row>
        <row r="71">
          <cell r="A71" t="str">
            <v>16:Q3</v>
          </cell>
          <cell r="B71">
            <v>43.22</v>
          </cell>
          <cell r="C71">
            <v>132.1</v>
          </cell>
          <cell r="D71">
            <v>133.30000000000001</v>
          </cell>
          <cell r="E71">
            <v>93.54</v>
          </cell>
          <cell r="F71">
            <v>57.26</v>
          </cell>
          <cell r="G71">
            <v>18</v>
          </cell>
        </row>
        <row r="72">
          <cell r="A72" t="str">
            <v>16:Q4</v>
          </cell>
          <cell r="B72">
            <v>50.04</v>
          </cell>
          <cell r="C72">
            <v>163.69999999999999</v>
          </cell>
          <cell r="D72">
            <v>178.3</v>
          </cell>
          <cell r="E72">
            <v>120.9</v>
          </cell>
          <cell r="F72">
            <v>76.61</v>
          </cell>
          <cell r="G72">
            <v>27.27</v>
          </cell>
        </row>
        <row r="73">
          <cell r="A73" t="str">
            <v>17:Q1</v>
          </cell>
          <cell r="B73">
            <v>33.090000000000003</v>
          </cell>
          <cell r="C73">
            <v>132.9</v>
          </cell>
          <cell r="D73">
            <v>123</v>
          </cell>
          <cell r="E73">
            <v>118.3</v>
          </cell>
          <cell r="F73">
            <v>56.66</v>
          </cell>
          <cell r="G73">
            <v>26.64</v>
          </cell>
        </row>
        <row r="74">
          <cell r="A74" t="str">
            <v>17:Q2</v>
          </cell>
          <cell r="B74">
            <v>36.380000000000003</v>
          </cell>
          <cell r="C74">
            <v>111.1</v>
          </cell>
          <cell r="D74">
            <v>112.2</v>
          </cell>
          <cell r="E74">
            <v>89.97</v>
          </cell>
          <cell r="F74">
            <v>49.91</v>
          </cell>
          <cell r="G74">
            <v>21.24</v>
          </cell>
        </row>
        <row r="75">
          <cell r="A75" t="str">
            <v>17:Q3</v>
          </cell>
          <cell r="B75">
            <v>48.12</v>
          </cell>
          <cell r="C75">
            <v>134.69999999999999</v>
          </cell>
          <cell r="D75">
            <v>124.2</v>
          </cell>
          <cell r="E75">
            <v>93.19</v>
          </cell>
          <cell r="F75">
            <v>56.71</v>
          </cell>
          <cell r="G75">
            <v>22.38</v>
          </cell>
        </row>
        <row r="76">
          <cell r="A76" t="str">
            <v>17:Q4</v>
          </cell>
          <cell r="B76">
            <v>45.09</v>
          </cell>
          <cell r="C76">
            <v>129.6</v>
          </cell>
          <cell r="D76">
            <v>115.7</v>
          </cell>
          <cell r="E76">
            <v>85.75</v>
          </cell>
          <cell r="F76">
            <v>52.81</v>
          </cell>
          <cell r="G76">
            <v>22.4</v>
          </cell>
        </row>
        <row r="77">
          <cell r="A77" t="str">
            <v>18:Q1</v>
          </cell>
          <cell r="B77">
            <v>29.06</v>
          </cell>
          <cell r="C77">
            <v>101.9</v>
          </cell>
          <cell r="D77">
            <v>128.80000000000001</v>
          </cell>
          <cell r="E77">
            <v>84.51</v>
          </cell>
          <cell r="F77">
            <v>56.49</v>
          </cell>
          <cell r="G77">
            <v>27.14</v>
          </cell>
        </row>
        <row r="78">
          <cell r="A78" t="str">
            <v>18:Q2</v>
          </cell>
          <cell r="B78">
            <v>37.4</v>
          </cell>
          <cell r="C78">
            <v>120.7</v>
          </cell>
          <cell r="D78">
            <v>109.1</v>
          </cell>
          <cell r="E78">
            <v>90.66</v>
          </cell>
          <cell r="F78">
            <v>51.54</v>
          </cell>
          <cell r="G78">
            <v>27.48</v>
          </cell>
        </row>
        <row r="79">
          <cell r="A79" t="str">
            <v>18:Q3</v>
          </cell>
          <cell r="B79">
            <v>47.03</v>
          </cell>
          <cell r="C79">
            <v>124.8</v>
          </cell>
          <cell r="D79">
            <v>110.8</v>
          </cell>
          <cell r="E79">
            <v>88.18</v>
          </cell>
          <cell r="F79">
            <v>54.68</v>
          </cell>
          <cell r="G79">
            <v>19.78</v>
          </cell>
        </row>
        <row r="80">
          <cell r="A80" t="str">
            <v>18:Q4</v>
          </cell>
          <cell r="B80">
            <v>36.14</v>
          </cell>
          <cell r="C80">
            <v>115</v>
          </cell>
          <cell r="D80">
            <v>111.3</v>
          </cell>
          <cell r="E80">
            <v>72.09</v>
          </cell>
          <cell r="F80">
            <v>42.5</v>
          </cell>
          <cell r="G80">
            <v>24.55</v>
          </cell>
        </row>
        <row r="81">
          <cell r="A81" t="str">
            <v>19:Q1</v>
          </cell>
          <cell r="B81">
            <v>29.7</v>
          </cell>
          <cell r="C81">
            <v>99.39</v>
          </cell>
          <cell r="D81">
            <v>85.49</v>
          </cell>
          <cell r="E81">
            <v>67.91</v>
          </cell>
          <cell r="F81">
            <v>39.92</v>
          </cell>
          <cell r="G81">
            <v>21.4</v>
          </cell>
        </row>
        <row r="82">
          <cell r="A82" t="str">
            <v>19:Q2</v>
          </cell>
          <cell r="B82">
            <v>43.65</v>
          </cell>
          <cell r="C82">
            <v>130.1</v>
          </cell>
          <cell r="D82">
            <v>119.8</v>
          </cell>
          <cell r="E82">
            <v>96.51</v>
          </cell>
          <cell r="F82">
            <v>55.81</v>
          </cell>
          <cell r="G82">
            <v>28</v>
          </cell>
        </row>
        <row r="83">
          <cell r="A83" t="str">
            <v>19:Q3</v>
          </cell>
          <cell r="B83">
            <v>45.56</v>
          </cell>
          <cell r="C83">
            <v>156.80000000000001</v>
          </cell>
          <cell r="D83">
            <v>142.5</v>
          </cell>
          <cell r="E83">
            <v>96.92</v>
          </cell>
          <cell r="F83">
            <v>56.47</v>
          </cell>
          <cell r="G83">
            <v>29.6</v>
          </cell>
        </row>
        <row r="84">
          <cell r="A84" t="str">
            <v>19:Q4</v>
          </cell>
          <cell r="B84">
            <v>65.84</v>
          </cell>
          <cell r="C84">
            <v>210.1</v>
          </cell>
          <cell r="D84">
            <v>208.5</v>
          </cell>
          <cell r="E84">
            <v>143.80000000000001</v>
          </cell>
          <cell r="F84">
            <v>88.49</v>
          </cell>
          <cell r="G84">
            <v>34.46</v>
          </cell>
        </row>
        <row r="85">
          <cell r="A85" t="str">
            <v>20:Q1</v>
          </cell>
          <cell r="B85">
            <v>49.06</v>
          </cell>
          <cell r="C85">
            <v>170.5</v>
          </cell>
          <cell r="D85">
            <v>185.8</v>
          </cell>
          <cell r="E85">
            <v>138.4</v>
          </cell>
          <cell r="F85">
            <v>70.59</v>
          </cell>
          <cell r="G85">
            <v>46.89</v>
          </cell>
        </row>
        <row r="86">
          <cell r="A86" t="str">
            <v>20:Q2</v>
          </cell>
          <cell r="B86">
            <v>59.07</v>
          </cell>
          <cell r="C86">
            <v>238.6</v>
          </cell>
          <cell r="D86">
            <v>229.3</v>
          </cell>
          <cell r="E86">
            <v>176.5</v>
          </cell>
          <cell r="F86">
            <v>95.67</v>
          </cell>
          <cell r="G86">
            <v>47.75</v>
          </cell>
        </row>
        <row r="87">
          <cell r="A87" t="str">
            <v>20:Q3</v>
          </cell>
          <cell r="B87">
            <v>85.43</v>
          </cell>
          <cell r="C87">
            <v>297.8</v>
          </cell>
          <cell r="D87">
            <v>290.3</v>
          </cell>
          <cell r="E87">
            <v>220.7</v>
          </cell>
          <cell r="F87">
            <v>99.68</v>
          </cell>
          <cell r="G87">
            <v>54.91</v>
          </cell>
        </row>
        <row r="88">
          <cell r="A88" t="str">
            <v>20:Q4</v>
          </cell>
          <cell r="B88">
            <v>83.93</v>
          </cell>
          <cell r="C88">
            <v>332.1</v>
          </cell>
          <cell r="D88">
            <v>310.89999999999998</v>
          </cell>
          <cell r="E88">
            <v>250.9</v>
          </cell>
          <cell r="F88">
            <v>133.5</v>
          </cell>
          <cell r="G88">
            <v>61.85</v>
          </cell>
        </row>
        <row r="89">
          <cell r="A89" t="str">
            <v>21:Q1</v>
          </cell>
          <cell r="B89">
            <v>68.56</v>
          </cell>
          <cell r="C89">
            <v>291.7</v>
          </cell>
          <cell r="D89">
            <v>324.7</v>
          </cell>
          <cell r="E89">
            <v>234</v>
          </cell>
          <cell r="F89">
            <v>148.80000000000001</v>
          </cell>
          <cell r="G89">
            <v>69.73</v>
          </cell>
        </row>
        <row r="90">
          <cell r="A90" t="str">
            <v>21:Q2</v>
          </cell>
          <cell r="B90">
            <v>77.59</v>
          </cell>
          <cell r="C90">
            <v>295.89999999999998</v>
          </cell>
          <cell r="D90">
            <v>336.4</v>
          </cell>
          <cell r="E90">
            <v>264.5</v>
          </cell>
          <cell r="F90">
            <v>168.4</v>
          </cell>
          <cell r="G90">
            <v>74.84</v>
          </cell>
        </row>
        <row r="91">
          <cell r="A91" t="str">
            <v>21:Q3</v>
          </cell>
          <cell r="B91">
            <v>87.38</v>
          </cell>
          <cell r="C91">
            <v>289.5</v>
          </cell>
          <cell r="D91">
            <v>300.7</v>
          </cell>
          <cell r="E91">
            <v>244.2</v>
          </cell>
          <cell r="F91">
            <v>121.3</v>
          </cell>
          <cell r="G91">
            <v>70.5</v>
          </cell>
        </row>
        <row r="92">
          <cell r="A92" t="str">
            <v>21:Q4</v>
          </cell>
          <cell r="B92">
            <v>80.36</v>
          </cell>
          <cell r="C92">
            <v>283.7</v>
          </cell>
          <cell r="D92">
            <v>273.60000000000002</v>
          </cell>
          <cell r="E92">
            <v>216.8</v>
          </cell>
          <cell r="F92">
            <v>122.6</v>
          </cell>
          <cell r="G92">
            <v>57.27</v>
          </cell>
        </row>
        <row r="93">
          <cell r="A93" t="str">
            <v>22:Q1</v>
          </cell>
          <cell r="B93">
            <v>55.24</v>
          </cell>
          <cell r="C93">
            <v>208.9</v>
          </cell>
          <cell r="D93">
            <v>239.2</v>
          </cell>
          <cell r="E93">
            <v>185.5</v>
          </cell>
          <cell r="F93">
            <v>118.1</v>
          </cell>
          <cell r="G93">
            <v>51.57</v>
          </cell>
        </row>
        <row r="94">
          <cell r="A94" t="str">
            <v>22:Q2</v>
          </cell>
          <cell r="B94">
            <v>60.85</v>
          </cell>
          <cell r="C94">
            <v>202.4</v>
          </cell>
          <cell r="D94">
            <v>209.4</v>
          </cell>
          <cell r="E94">
            <v>153.80000000000001</v>
          </cell>
          <cell r="F94">
            <v>86.34</v>
          </cell>
          <cell r="G94">
            <v>44.37</v>
          </cell>
        </row>
        <row r="95">
          <cell r="A95" t="str">
            <v>22:Q3</v>
          </cell>
          <cell r="B95">
            <v>70.7</v>
          </cell>
          <cell r="C95">
            <v>193.6</v>
          </cell>
          <cell r="D95">
            <v>163.80000000000001</v>
          </cell>
          <cell r="E95">
            <v>97.92</v>
          </cell>
          <cell r="F95">
            <v>72.790000000000006</v>
          </cell>
          <cell r="G95">
            <v>32.83</v>
          </cell>
        </row>
        <row r="96">
          <cell r="A96" t="str">
            <v>22:Q4</v>
          </cell>
          <cell r="B96">
            <v>61.43</v>
          </cell>
          <cell r="C96">
            <v>154.5</v>
          </cell>
          <cell r="D96">
            <v>120.5</v>
          </cell>
          <cell r="E96">
            <v>85.61</v>
          </cell>
          <cell r="F96">
            <v>53.56</v>
          </cell>
          <cell r="G96">
            <v>21.36</v>
          </cell>
        </row>
        <row r="97">
          <cell r="A97" t="str">
            <v>23:Q1</v>
          </cell>
          <cell r="B97">
            <v>41.07</v>
          </cell>
          <cell r="C97">
            <v>85.36</v>
          </cell>
          <cell r="D97">
            <v>87.78</v>
          </cell>
          <cell r="E97">
            <v>58.11</v>
          </cell>
          <cell r="F97">
            <v>36.130000000000003</v>
          </cell>
          <cell r="G97">
            <v>14.48</v>
          </cell>
        </row>
        <row r="98">
          <cell r="A98" t="str">
            <v>23:Q2</v>
          </cell>
          <cell r="B98">
            <v>49.65</v>
          </cell>
          <cell r="C98">
            <v>121.1</v>
          </cell>
          <cell r="D98">
            <v>87.62</v>
          </cell>
          <cell r="E98">
            <v>75.349999999999994</v>
          </cell>
          <cell r="F98">
            <v>40.380000000000003</v>
          </cell>
          <cell r="G98">
            <v>18.93</v>
          </cell>
        </row>
        <row r="99">
          <cell r="A99" t="str">
            <v>23:Q3</v>
          </cell>
          <cell r="B99">
            <v>48.67</v>
          </cell>
          <cell r="C99">
            <v>119.7</v>
          </cell>
          <cell r="D99">
            <v>101</v>
          </cell>
          <cell r="E99">
            <v>58.57</v>
          </cell>
          <cell r="F99">
            <v>37.270000000000003</v>
          </cell>
          <cell r="G99">
            <v>20.59</v>
          </cell>
        </row>
        <row r="100">
          <cell r="A100" t="str">
            <v>23:Q4</v>
          </cell>
          <cell r="B100">
            <v>51.36</v>
          </cell>
          <cell r="C100">
            <v>122</v>
          </cell>
          <cell r="D100">
            <v>96.570000000000007</v>
          </cell>
          <cell r="E100">
            <v>67.540000000000006</v>
          </cell>
          <cell r="F100">
            <v>36.96</v>
          </cell>
          <cell r="G100">
            <v>16.559999999999999</v>
          </cell>
        </row>
        <row r="101">
          <cell r="A101" t="str">
            <v>24:Q1</v>
          </cell>
          <cell r="B101">
            <v>38.36</v>
          </cell>
          <cell r="C101">
            <v>111.4</v>
          </cell>
          <cell r="D101">
            <v>110.9</v>
          </cell>
          <cell r="E101">
            <v>74.239999999999995</v>
          </cell>
          <cell r="F101">
            <v>43.41</v>
          </cell>
          <cell r="G101">
            <v>24.36</v>
          </cell>
        </row>
        <row r="102">
          <cell r="A102" t="str">
            <v>24:Q2</v>
          </cell>
          <cell r="B102">
            <v>40.92</v>
          </cell>
          <cell r="C102">
            <v>119.1</v>
          </cell>
          <cell r="D102">
            <v>86.33</v>
          </cell>
          <cell r="E102">
            <v>62.9</v>
          </cell>
          <cell r="F102">
            <v>42.09</v>
          </cell>
          <cell r="G102">
            <v>22.57</v>
          </cell>
        </row>
        <row r="103">
          <cell r="A103" t="str">
            <v>24:Q3</v>
          </cell>
          <cell r="B103">
            <v>49.15</v>
          </cell>
          <cell r="C103">
            <v>140.9</v>
          </cell>
          <cell r="D103">
            <v>103.5</v>
          </cell>
          <cell r="E103">
            <v>84.6</v>
          </cell>
          <cell r="F103">
            <v>46.69</v>
          </cell>
          <cell r="G103">
            <v>22.92</v>
          </cell>
        </row>
        <row r="104">
          <cell r="A104" t="str">
            <v>24:Q4</v>
          </cell>
          <cell r="B104">
            <v>58.19</v>
          </cell>
          <cell r="C104">
            <v>147.30000000000001</v>
          </cell>
          <cell r="D104">
            <v>105.6</v>
          </cell>
          <cell r="E104">
            <v>89.7</v>
          </cell>
          <cell r="F104">
            <v>39.53</v>
          </cell>
          <cell r="G104">
            <v>24.61</v>
          </cell>
        </row>
        <row r="105">
          <cell r="A105" t="str">
            <v>25:Q1</v>
          </cell>
          <cell r="B105">
            <v>43.26</v>
          </cell>
          <cell r="C105">
            <v>123.7</v>
          </cell>
          <cell r="D105">
            <v>110.5</v>
          </cell>
          <cell r="E105">
            <v>79.790000000000006</v>
          </cell>
          <cell r="F105">
            <v>44.02</v>
          </cell>
          <cell r="G105">
            <v>23.78</v>
          </cell>
        </row>
        <row r="106">
          <cell r="A106" t="str">
            <v>25:Q2</v>
          </cell>
          <cell r="B106">
            <v>45.28</v>
          </cell>
          <cell r="C106">
            <v>137.19999999999999</v>
          </cell>
          <cell r="D106">
            <v>114.4</v>
          </cell>
          <cell r="E106">
            <v>82.34</v>
          </cell>
          <cell r="F106">
            <v>51.06</v>
          </cell>
          <cell r="G106">
            <v>27.49</v>
          </cell>
        </row>
        <row r="107">
          <cell r="A107" t="str">
            <v>25:Q3</v>
          </cell>
          <cell r="B107">
            <v>51.1</v>
          </cell>
          <cell r="C107">
            <v>173.2</v>
          </cell>
          <cell r="D107">
            <v>117.5</v>
          </cell>
          <cell r="E107">
            <v>97.88</v>
          </cell>
          <cell r="F107">
            <v>48.65</v>
          </cell>
          <cell r="G107">
            <v>22.92</v>
          </cell>
        </row>
        <row r="108">
          <cell r="A108" t="str">
            <v>25:Q4</v>
          </cell>
          <cell r="B108">
            <v>57.42</v>
          </cell>
          <cell r="C108">
            <v>158.5</v>
          </cell>
          <cell r="D108">
            <v>130.30000000000001</v>
          </cell>
          <cell r="E108">
            <v>96.14</v>
          </cell>
          <cell r="F108">
            <v>58.71</v>
          </cell>
          <cell r="G108">
            <v>23.33</v>
          </cell>
        </row>
        <row r="109">
          <cell r="A109" t="str">
            <v>26:Q1</v>
          </cell>
          <cell r="B109">
            <v>49.84</v>
          </cell>
          <cell r="C109">
            <v>156.30000000000001</v>
          </cell>
          <cell r="D109">
            <v>128.5</v>
          </cell>
          <cell r="E109">
            <v>103.7</v>
          </cell>
          <cell r="F109">
            <v>56.54</v>
          </cell>
          <cell r="G109">
            <v>34.409999999999997</v>
          </cell>
        </row>
      </sheetData>
      <sheetData sheetId="41" refreshError="1"/>
      <sheetData sheetId="42">
        <row r="1">
          <cell r="A1" t="str">
            <v>Transition into Serious Delinquency (90+) by Age</v>
          </cell>
        </row>
        <row r="2">
          <cell r="A2" t="str">
            <v>Percent</v>
          </cell>
        </row>
        <row r="3">
          <cell r="A3" t="str">
            <v>quarter</v>
          </cell>
          <cell r="B3" t="str">
            <v>18-29</v>
          </cell>
          <cell r="C3" t="str">
            <v>30-39</v>
          </cell>
          <cell r="D3" t="str">
            <v>40-49</v>
          </cell>
          <cell r="E3" t="str">
            <v>50-59</v>
          </cell>
          <cell r="F3" t="str">
            <v>60-69</v>
          </cell>
          <cell r="G3" t="str">
            <v>70+</v>
          </cell>
        </row>
        <row r="4">
          <cell r="A4" t="str">
            <v>00:Q1</v>
          </cell>
          <cell r="B4">
            <v>4.2301579591162337</v>
          </cell>
          <cell r="C4">
            <v>2.09400892556897</v>
          </cell>
          <cell r="D4">
            <v>1.6389507819409426</v>
          </cell>
          <cell r="E4">
            <v>1.4070125205268731</v>
          </cell>
          <cell r="F4">
            <v>1.1252385802837317</v>
          </cell>
          <cell r="G4">
            <v>1.8583789302120437</v>
          </cell>
        </row>
        <row r="5">
          <cell r="A5" t="str">
            <v>00:Q2</v>
          </cell>
          <cell r="B5">
            <v>4.5919187273995554</v>
          </cell>
          <cell r="C5">
            <v>2.1475823308547035</v>
          </cell>
          <cell r="D5">
            <v>1.6094950883807715</v>
          </cell>
          <cell r="E5">
            <v>1.4035434091611059</v>
          </cell>
          <cell r="F5">
            <v>1.0967530379663006</v>
          </cell>
          <cell r="G5">
            <v>2.1763751365846953</v>
          </cell>
        </row>
        <row r="6">
          <cell r="A6" t="str">
            <v>00:Q3</v>
          </cell>
          <cell r="B6">
            <v>4.446974050512444</v>
          </cell>
          <cell r="C6">
            <v>2.1636929299221963</v>
          </cell>
          <cell r="D6">
            <v>1.5527763955083123</v>
          </cell>
          <cell r="E6">
            <v>1.3231956778353904</v>
          </cell>
          <cell r="F6">
            <v>1.0282115054630416</v>
          </cell>
          <cell r="G6">
            <v>2.1131342166110416</v>
          </cell>
        </row>
        <row r="7">
          <cell r="A7" t="str">
            <v>00:Q4</v>
          </cell>
          <cell r="B7">
            <v>4.614424324904995</v>
          </cell>
          <cell r="C7">
            <v>2.2851875950601053</v>
          </cell>
          <cell r="D7">
            <v>1.7373861838681004</v>
          </cell>
          <cell r="E7">
            <v>1.4078754171035501</v>
          </cell>
          <cell r="F7">
            <v>1.1448070868068243</v>
          </cell>
          <cell r="G7">
            <v>2.3302957229667256</v>
          </cell>
        </row>
        <row r="8">
          <cell r="A8" t="str">
            <v>01:Q1</v>
          </cell>
          <cell r="B8">
            <v>4.8515781926632782</v>
          </cell>
          <cell r="C8">
            <v>2.3446651112101802</v>
          </cell>
          <cell r="D8">
            <v>1.7908600321494585</v>
          </cell>
          <cell r="E8">
            <v>1.4961765718828586</v>
          </cell>
          <cell r="F8">
            <v>1.1483077480998791</v>
          </cell>
          <cell r="G8">
            <v>2.4240820424399496</v>
          </cell>
        </row>
        <row r="9">
          <cell r="A9" t="str">
            <v>01:Q2</v>
          </cell>
          <cell r="B9">
            <v>4.8709768306991412</v>
          </cell>
          <cell r="C9">
            <v>2.5050013645393823</v>
          </cell>
          <cell r="D9">
            <v>1.9638542801784169</v>
          </cell>
          <cell r="E9">
            <v>1.5207834901218524</v>
          </cell>
          <cell r="F9">
            <v>1.213435081462086</v>
          </cell>
          <cell r="G9">
            <v>2.3443290724733945</v>
          </cell>
        </row>
        <row r="10">
          <cell r="A10" t="str">
            <v>01:Q3</v>
          </cell>
          <cell r="B10">
            <v>5.4281786662640563</v>
          </cell>
          <cell r="C10">
            <v>2.737794111852228</v>
          </cell>
          <cell r="D10">
            <v>2.1197294176991242</v>
          </cell>
          <cell r="E10">
            <v>1.6438452487954607</v>
          </cell>
          <cell r="F10">
            <v>1.3533889352555915</v>
          </cell>
          <cell r="G10">
            <v>2.4120111173434289</v>
          </cell>
        </row>
        <row r="11">
          <cell r="A11" t="str">
            <v>01:Q4</v>
          </cell>
          <cell r="B11">
            <v>5.7335832161581095</v>
          </cell>
          <cell r="C11">
            <v>2.8756212630034432</v>
          </cell>
          <cell r="D11">
            <v>2.1128810621539595</v>
          </cell>
          <cell r="E11">
            <v>1.7288775969402255</v>
          </cell>
          <cell r="F11">
            <v>1.5383566385797953</v>
          </cell>
          <cell r="G11">
            <v>2.2600702317309747</v>
          </cell>
        </row>
        <row r="12">
          <cell r="A12" t="str">
            <v>02:Q1</v>
          </cell>
          <cell r="B12">
            <v>5.8427901375724653</v>
          </cell>
          <cell r="C12">
            <v>2.9392439904404624</v>
          </cell>
          <cell r="D12">
            <v>2.2754567041575195</v>
          </cell>
          <cell r="E12">
            <v>1.7642351955189186</v>
          </cell>
          <cell r="F12">
            <v>1.8679642244765107</v>
          </cell>
          <cell r="G12">
            <v>2.3684917242693095</v>
          </cell>
        </row>
        <row r="13">
          <cell r="A13" t="str">
            <v>02:Q2</v>
          </cell>
          <cell r="B13">
            <v>5.7777937223016398</v>
          </cell>
          <cell r="C13">
            <v>2.8628012258799282</v>
          </cell>
          <cell r="D13">
            <v>2.2751414145803803</v>
          </cell>
          <cell r="E13">
            <v>1.9038634047586784</v>
          </cell>
          <cell r="F13">
            <v>1.9087640066717875</v>
          </cell>
          <cell r="G13">
            <v>2.0547978764047259</v>
          </cell>
        </row>
        <row r="14">
          <cell r="A14" t="str">
            <v>02:Q3</v>
          </cell>
          <cell r="B14">
            <v>5.6574367266273633</v>
          </cell>
          <cell r="C14">
            <v>2.7696005254589302</v>
          </cell>
          <cell r="D14">
            <v>2.323324978286565</v>
          </cell>
          <cell r="E14">
            <v>1.9492906595852482</v>
          </cell>
          <cell r="F14">
            <v>1.952379583431773</v>
          </cell>
          <cell r="G14">
            <v>2.1889203424053516</v>
          </cell>
        </row>
        <row r="15">
          <cell r="A15" t="str">
            <v>02:Q4</v>
          </cell>
          <cell r="B15">
            <v>5.5495707458291719</v>
          </cell>
          <cell r="C15">
            <v>2.7480251759385057</v>
          </cell>
          <cell r="D15">
            <v>2.4427214421161385</v>
          </cell>
          <cell r="E15">
            <v>1.9385369308637126</v>
          </cell>
          <cell r="F15">
            <v>1.8148450292001073</v>
          </cell>
          <cell r="G15">
            <v>2.5575894069212075</v>
          </cell>
        </row>
        <row r="16">
          <cell r="A16" t="str">
            <v>03:Q1</v>
          </cell>
          <cell r="B16">
            <v>5.5600043509325232</v>
          </cell>
          <cell r="C16">
            <v>2.7638610109587809</v>
          </cell>
          <cell r="D16">
            <v>2.3268038310505119</v>
          </cell>
          <cell r="E16">
            <v>1.9833035996581456</v>
          </cell>
          <cell r="F16">
            <v>1.5664123469428206</v>
          </cell>
          <cell r="G16">
            <v>2.5716939306839075</v>
          </cell>
        </row>
        <row r="17">
          <cell r="A17" t="str">
            <v>03:Q2</v>
          </cell>
          <cell r="B17">
            <v>5.3169709956149047</v>
          </cell>
          <cell r="C17">
            <v>2.8807670076276763</v>
          </cell>
          <cell r="D17">
            <v>2.3809962107995428</v>
          </cell>
          <cell r="E17">
            <v>1.9252792626436328</v>
          </cell>
          <cell r="F17">
            <v>1.7917614340683095</v>
          </cell>
          <cell r="G17">
            <v>2.8115556728073954</v>
          </cell>
        </row>
        <row r="18">
          <cell r="A18" t="str">
            <v>03:Q3</v>
          </cell>
          <cell r="B18">
            <v>4.8508772213370559</v>
          </cell>
          <cell r="C18">
            <v>2.8597760333941986</v>
          </cell>
          <cell r="D18">
            <v>2.3468705170784849</v>
          </cell>
          <cell r="E18">
            <v>1.8996783262114552</v>
          </cell>
          <cell r="F18">
            <v>1.8382580856290034</v>
          </cell>
          <cell r="G18">
            <v>2.8095345804587839</v>
          </cell>
        </row>
        <row r="19">
          <cell r="A19" t="str">
            <v>03:Q4</v>
          </cell>
          <cell r="B19">
            <v>4.4940660778328851</v>
          </cell>
          <cell r="C19">
            <v>2.7781157087091803</v>
          </cell>
          <cell r="D19">
            <v>2.2161498266522726</v>
          </cell>
          <cell r="E19">
            <v>1.8334361837848641</v>
          </cell>
          <cell r="F19">
            <v>1.8059138618840886</v>
          </cell>
          <cell r="G19">
            <v>2.6892304479208726</v>
          </cell>
        </row>
        <row r="20">
          <cell r="A20" t="str">
            <v>04:Q1</v>
          </cell>
          <cell r="B20">
            <v>3.9290784969217625</v>
          </cell>
          <cell r="C20">
            <v>2.6012329717927583</v>
          </cell>
          <cell r="D20">
            <v>2.1565602514520528</v>
          </cell>
          <cell r="E20">
            <v>1.7185181635803217</v>
          </cell>
          <cell r="F20">
            <v>1.6577997340182369</v>
          </cell>
          <cell r="G20">
            <v>2.3666830801221082</v>
          </cell>
        </row>
        <row r="21">
          <cell r="A21" t="str">
            <v>04:Q2</v>
          </cell>
          <cell r="B21">
            <v>3.8561347113522584</v>
          </cell>
          <cell r="C21">
            <v>2.4641837314376009</v>
          </cell>
          <cell r="D21">
            <v>2.0735052241675853</v>
          </cell>
          <cell r="E21">
            <v>1.6215705310108173</v>
          </cell>
          <cell r="F21">
            <v>1.4406100559464416</v>
          </cell>
          <cell r="G21">
            <v>2.227563530989102</v>
          </cell>
        </row>
        <row r="22">
          <cell r="A22" t="str">
            <v>04:Q3</v>
          </cell>
          <cell r="B22">
            <v>3.7967562927800986</v>
          </cell>
          <cell r="C22">
            <v>2.4428696155418472</v>
          </cell>
          <cell r="D22">
            <v>2.077126173851819</v>
          </cell>
          <cell r="E22">
            <v>1.5856809417749178</v>
          </cell>
          <cell r="F22">
            <v>1.435967176638373</v>
          </cell>
          <cell r="G22">
            <v>2.2317964927597007</v>
          </cell>
        </row>
        <row r="23">
          <cell r="A23" t="str">
            <v>04:Q4</v>
          </cell>
          <cell r="B23">
            <v>3.7295805122009202</v>
          </cell>
          <cell r="C23">
            <v>2.4480600710588472</v>
          </cell>
          <cell r="D23">
            <v>2.0305869517468569</v>
          </cell>
          <cell r="E23">
            <v>1.6311006486824</v>
          </cell>
          <cell r="F23">
            <v>1.4081117060868193</v>
          </cell>
          <cell r="G23">
            <v>1.9804040309579489</v>
          </cell>
        </row>
        <row r="24">
          <cell r="A24" t="str">
            <v>05:Q1</v>
          </cell>
          <cell r="B24">
            <v>3.9146930380002871</v>
          </cell>
          <cell r="C24">
            <v>2.4176722988214889</v>
          </cell>
          <cell r="D24">
            <v>1.9065015969072916</v>
          </cell>
          <cell r="E24">
            <v>1.5938517591374519</v>
          </cell>
          <cell r="F24">
            <v>1.3473064666664554</v>
          </cell>
          <cell r="G24">
            <v>2.205994831016834</v>
          </cell>
        </row>
        <row r="25">
          <cell r="A25" t="str">
            <v>05:Q2</v>
          </cell>
          <cell r="B25">
            <v>3.7702170605976604</v>
          </cell>
          <cell r="C25">
            <v>2.4126904804372016</v>
          </cell>
          <cell r="D25">
            <v>1.8024452698553701</v>
          </cell>
          <cell r="E25">
            <v>1.5935055013360857</v>
          </cell>
          <cell r="F25">
            <v>1.4081454881146964</v>
          </cell>
          <cell r="G25">
            <v>2.166719572343268</v>
          </cell>
        </row>
        <row r="26">
          <cell r="A26" t="str">
            <v>05:Q3</v>
          </cell>
          <cell r="B26">
            <v>3.8032337042818103</v>
          </cell>
          <cell r="C26">
            <v>2.3959785878826749</v>
          </cell>
          <cell r="D26">
            <v>1.7178518332713932</v>
          </cell>
          <cell r="E26">
            <v>1.5602662413651005</v>
          </cell>
          <cell r="F26">
            <v>1.3086221424650104</v>
          </cell>
          <cell r="G26">
            <v>2.2604320568980825</v>
          </cell>
        </row>
        <row r="27">
          <cell r="A27" t="str">
            <v>05:Q4</v>
          </cell>
          <cell r="B27">
            <v>3.6536585622202149</v>
          </cell>
          <cell r="C27">
            <v>2.3017738808936929</v>
          </cell>
          <cell r="D27">
            <v>1.6542329573386347</v>
          </cell>
          <cell r="E27">
            <v>1.4084201549299731</v>
          </cell>
          <cell r="F27">
            <v>1.265743608110818</v>
          </cell>
          <cell r="G27">
            <v>2.166119770150452</v>
          </cell>
        </row>
        <row r="28">
          <cell r="A28" t="str">
            <v>06:Q1</v>
          </cell>
          <cell r="B28">
            <v>3.5716462894514418</v>
          </cell>
          <cell r="C28">
            <v>2.3272354941104076</v>
          </cell>
          <cell r="D28">
            <v>1.689345814438354</v>
          </cell>
          <cell r="E28">
            <v>1.3354276143419959</v>
          </cell>
          <cell r="F28">
            <v>1.3605165660695973</v>
          </cell>
          <cell r="G28">
            <v>2.0236864843049815</v>
          </cell>
        </row>
        <row r="29">
          <cell r="A29" t="str">
            <v>06:Q2</v>
          </cell>
          <cell r="B29">
            <v>3.8271502857487012</v>
          </cell>
          <cell r="C29">
            <v>2.3358289788244075</v>
          </cell>
          <cell r="D29">
            <v>1.7171096890663624</v>
          </cell>
          <cell r="E29">
            <v>1.342588016880204</v>
          </cell>
          <cell r="F29">
            <v>1.2795638424840343</v>
          </cell>
          <cell r="G29">
            <v>2.1272606878791853</v>
          </cell>
        </row>
        <row r="30">
          <cell r="A30" t="str">
            <v>06:Q3</v>
          </cell>
          <cell r="B30">
            <v>4.0812670173978471</v>
          </cell>
          <cell r="C30">
            <v>2.6538647623801257</v>
          </cell>
          <cell r="D30">
            <v>1.877969700160383</v>
          </cell>
          <cell r="E30">
            <v>1.3550286974909869</v>
          </cell>
          <cell r="F30">
            <v>1.2073121062602401</v>
          </cell>
          <cell r="G30">
            <v>1.9617046589760183</v>
          </cell>
        </row>
        <row r="31">
          <cell r="A31" t="str">
            <v>06:Q4</v>
          </cell>
          <cell r="B31">
            <v>4.3686321542663453</v>
          </cell>
          <cell r="C31">
            <v>2.7743495498725457</v>
          </cell>
          <cell r="D31">
            <v>2.1549447770785655</v>
          </cell>
          <cell r="E31">
            <v>1.5983717020042039</v>
          </cell>
          <cell r="F31">
            <v>1.2793877909059554</v>
          </cell>
          <cell r="G31">
            <v>2.0046561843819566</v>
          </cell>
        </row>
        <row r="32">
          <cell r="A32" t="str">
            <v>07:Q1</v>
          </cell>
          <cell r="B32">
            <v>4.8064498347160258</v>
          </cell>
          <cell r="C32">
            <v>2.9809995053189038</v>
          </cell>
          <cell r="D32">
            <v>2.3590252135926191</v>
          </cell>
          <cell r="E32">
            <v>1.8836825565456696</v>
          </cell>
          <cell r="F32">
            <v>1.4150106040898009</v>
          </cell>
          <cell r="G32">
            <v>2.184222461825565</v>
          </cell>
        </row>
        <row r="33">
          <cell r="A33" t="str">
            <v>07:Q2</v>
          </cell>
          <cell r="B33">
            <v>5.3557180999147684</v>
          </cell>
          <cell r="C33">
            <v>3.4656681000760261</v>
          </cell>
          <cell r="D33">
            <v>2.7197166497150036</v>
          </cell>
          <cell r="E33">
            <v>2.1564567316544574</v>
          </cell>
          <cell r="F33">
            <v>1.6703421258126214</v>
          </cell>
          <cell r="G33">
            <v>2.522682118155422</v>
          </cell>
        </row>
        <row r="34">
          <cell r="A34" t="str">
            <v>07:Q3</v>
          </cell>
          <cell r="B34">
            <v>5.5559393097846463</v>
          </cell>
          <cell r="C34">
            <v>4.0144028060947567</v>
          </cell>
          <cell r="D34">
            <v>3.0037161694180137</v>
          </cell>
          <cell r="E34">
            <v>2.5452529661893268</v>
          </cell>
          <cell r="F34">
            <v>2.1372734722051683</v>
          </cell>
          <cell r="G34">
            <v>2.938811569453406</v>
          </cell>
        </row>
        <row r="35">
          <cell r="A35" t="str">
            <v>07:Q4</v>
          </cell>
          <cell r="B35">
            <v>6.4816159223453349</v>
          </cell>
          <cell r="C35">
            <v>5.0605182947846803</v>
          </cell>
          <cell r="D35">
            <v>3.6680477079805969</v>
          </cell>
          <cell r="E35">
            <v>2.8292623470234188</v>
          </cell>
          <cell r="F35">
            <v>2.5638838614846229</v>
          </cell>
          <cell r="G35">
            <v>3.1223766810724167</v>
          </cell>
        </row>
        <row r="36">
          <cell r="A36" t="str">
            <v>08:Q1</v>
          </cell>
          <cell r="B36">
            <v>7.0003047315795834</v>
          </cell>
          <cell r="C36">
            <v>6.5496324199389573</v>
          </cell>
          <cell r="D36">
            <v>4.5732150959366908</v>
          </cell>
          <cell r="E36">
            <v>3.2984619552855268</v>
          </cell>
          <cell r="F36">
            <v>3.2519514188870233</v>
          </cell>
          <cell r="G36">
            <v>3.4718419307569781</v>
          </cell>
        </row>
        <row r="37">
          <cell r="A37" t="str">
            <v>08:Q2</v>
          </cell>
          <cell r="B37">
            <v>7.3307973872543899</v>
          </cell>
          <cell r="C37">
            <v>7.3628617536725924</v>
          </cell>
          <cell r="D37">
            <v>5.0958924259869187</v>
          </cell>
          <cell r="E37">
            <v>3.8414410786380562</v>
          </cell>
          <cell r="F37">
            <v>3.4498920965655913</v>
          </cell>
          <cell r="G37">
            <v>3.3731074300329311</v>
          </cell>
        </row>
        <row r="38">
          <cell r="A38" t="str">
            <v>08:Q3</v>
          </cell>
          <cell r="B38">
            <v>8.2626657066039435</v>
          </cell>
          <cell r="C38">
            <v>7.8371204129618954</v>
          </cell>
          <cell r="D38">
            <v>5.9669401205459325</v>
          </cell>
          <cell r="E38">
            <v>4.6347491199064752</v>
          </cell>
          <cell r="F38">
            <v>3.7240599306683797</v>
          </cell>
          <cell r="G38">
            <v>3.4692741649476231</v>
          </cell>
        </row>
        <row r="39">
          <cell r="A39" t="str">
            <v>08:Q4</v>
          </cell>
          <cell r="B39">
            <v>8.6408992968469267</v>
          </cell>
          <cell r="C39">
            <v>8.5735667287625574</v>
          </cell>
          <cell r="D39">
            <v>6.5770807715416542</v>
          </cell>
          <cell r="E39">
            <v>5.2034103186761991</v>
          </cell>
          <cell r="F39">
            <v>4.0627991216251029</v>
          </cell>
          <cell r="G39">
            <v>4.3987517755172432</v>
          </cell>
        </row>
        <row r="40">
          <cell r="A40" t="str">
            <v>09:Q1</v>
          </cell>
          <cell r="B40">
            <v>9.1207157431804902</v>
          </cell>
          <cell r="C40">
            <v>8.8204474642082253</v>
          </cell>
          <cell r="D40">
            <v>7.4249214508465915</v>
          </cell>
          <cell r="E40">
            <v>6.3348147612998149</v>
          </cell>
          <cell r="F40">
            <v>4.3087780709120223</v>
          </cell>
          <cell r="G40">
            <v>4.907861653491576</v>
          </cell>
        </row>
        <row r="41">
          <cell r="A41" t="str">
            <v>09:Q2</v>
          </cell>
          <cell r="B41">
            <v>9.466671866635199</v>
          </cell>
          <cell r="C41">
            <v>9.4190340276405404</v>
          </cell>
          <cell r="D41">
            <v>8.4926780534806685</v>
          </cell>
          <cell r="E41">
            <v>6.9552301864681478</v>
          </cell>
          <cell r="F41">
            <v>4.9366878221508346</v>
          </cell>
          <cell r="G41">
            <v>5.9385886099381686</v>
          </cell>
        </row>
        <row r="42">
          <cell r="A42" t="str">
            <v>09:Q3</v>
          </cell>
          <cell r="B42">
            <v>8.9236502327771596</v>
          </cell>
          <cell r="C42">
            <v>9.6294579279647348</v>
          </cell>
          <cell r="D42">
            <v>8.7745803533437883</v>
          </cell>
          <cell r="E42">
            <v>6.8824631360807924</v>
          </cell>
          <cell r="F42">
            <v>5.0748909025035491</v>
          </cell>
          <cell r="G42">
            <v>5.99388643629496</v>
          </cell>
        </row>
        <row r="43">
          <cell r="A43" t="str">
            <v>09:Q4</v>
          </cell>
          <cell r="B43">
            <v>8.5038678847057092</v>
          </cell>
          <cell r="C43">
            <v>9.6542317347566531</v>
          </cell>
          <cell r="D43">
            <v>8.736651833070777</v>
          </cell>
          <cell r="E43">
            <v>7.0637833084328543</v>
          </cell>
          <cell r="F43">
            <v>5.0630003105422601</v>
          </cell>
          <cell r="G43">
            <v>5.6671386911205879</v>
          </cell>
        </row>
        <row r="44">
          <cell r="A44" t="str">
            <v>10:Q1</v>
          </cell>
          <cell r="B44">
            <v>7.8068509910706174</v>
          </cell>
          <cell r="C44">
            <v>9.0234640267853887</v>
          </cell>
          <cell r="D44">
            <v>8.1620340177991384</v>
          </cell>
          <cell r="E44">
            <v>6.7839561149768492</v>
          </cell>
          <cell r="F44">
            <v>4.7915293097997473</v>
          </cell>
          <cell r="G44">
            <v>5.2950176567420488</v>
          </cell>
        </row>
        <row r="45">
          <cell r="A45" t="str">
            <v>10:Q2</v>
          </cell>
          <cell r="B45">
            <v>6.9505514525058629</v>
          </cell>
          <cell r="C45">
            <v>8.2490947500080978</v>
          </cell>
          <cell r="D45">
            <v>7.6300366233699037</v>
          </cell>
          <cell r="E45">
            <v>6.3961290270226501</v>
          </cell>
          <cell r="F45">
            <v>4.4310847887389944</v>
          </cell>
          <cell r="G45">
            <v>4.7303642318547947</v>
          </cell>
        </row>
        <row r="46">
          <cell r="A46" t="str">
            <v>10:Q3</v>
          </cell>
          <cell r="B46">
            <v>6.4576946760748015</v>
          </cell>
          <cell r="C46">
            <v>7.7476195073983014</v>
          </cell>
          <cell r="D46">
            <v>6.9828329700469345</v>
          </cell>
          <cell r="E46">
            <v>6.2348308608084206</v>
          </cell>
          <cell r="F46">
            <v>4.1171880153441167</v>
          </cell>
          <cell r="G46">
            <v>4.7597868635060614</v>
          </cell>
        </row>
        <row r="47">
          <cell r="A47" t="str">
            <v>10:Q4</v>
          </cell>
          <cell r="B47">
            <v>5.6951497534005497</v>
          </cell>
          <cell r="C47">
            <v>6.736355910252481</v>
          </cell>
          <cell r="D47">
            <v>6.4143206551890497</v>
          </cell>
          <cell r="E47">
            <v>5.832643102756748</v>
          </cell>
          <cell r="F47">
            <v>3.9063677592134223</v>
          </cell>
          <cell r="G47">
            <v>4.4075341553152096</v>
          </cell>
        </row>
        <row r="48">
          <cell r="A48" t="str">
            <v>11:Q1</v>
          </cell>
          <cell r="B48">
            <v>5.2273563391783933</v>
          </cell>
          <cell r="C48">
            <v>6.2342138763313262</v>
          </cell>
          <cell r="D48">
            <v>5.9085833983221061</v>
          </cell>
          <cell r="E48">
            <v>4.9591588855139452</v>
          </cell>
          <cell r="F48">
            <v>3.630365742312859</v>
          </cell>
          <cell r="G48">
            <v>5.2482603841168318</v>
          </cell>
        </row>
        <row r="49">
          <cell r="A49" t="str">
            <v>11:Q2</v>
          </cell>
          <cell r="B49">
            <v>5.0915031606642058</v>
          </cell>
          <cell r="C49">
            <v>5.788330700499059</v>
          </cell>
          <cell r="D49">
            <v>5.3218284625456604</v>
          </cell>
          <cell r="E49">
            <v>4.6726901456912167</v>
          </cell>
          <cell r="F49">
            <v>3.3245634783497193</v>
          </cell>
          <cell r="G49">
            <v>4.5404325635797829</v>
          </cell>
        </row>
        <row r="50">
          <cell r="A50" t="str">
            <v>11:Q3</v>
          </cell>
          <cell r="B50">
            <v>4.8844738364310407</v>
          </cell>
          <cell r="C50">
            <v>5.6084094223897782</v>
          </cell>
          <cell r="D50">
            <v>5.3064397793092777</v>
          </cell>
          <cell r="E50">
            <v>4.245502353582693</v>
          </cell>
          <cell r="F50">
            <v>3.5774712733891039</v>
          </cell>
          <cell r="G50">
            <v>4.2278457817136621</v>
          </cell>
        </row>
        <row r="51">
          <cell r="A51" t="str">
            <v>11:Q4</v>
          </cell>
          <cell r="B51">
            <v>4.9458127989610743</v>
          </cell>
          <cell r="C51">
            <v>5.5732280184653238</v>
          </cell>
          <cell r="D51">
            <v>5.2187850916247811</v>
          </cell>
          <cell r="E51">
            <v>4.229968511716204</v>
          </cell>
          <cell r="F51">
            <v>3.4886097425353362</v>
          </cell>
          <cell r="G51">
            <v>4.3386031691989526</v>
          </cell>
        </row>
        <row r="52">
          <cell r="A52" t="str">
            <v>12:Q1</v>
          </cell>
          <cell r="B52">
            <v>4.8993939113573575</v>
          </cell>
          <cell r="C52">
            <v>5.3215200352183478</v>
          </cell>
          <cell r="D52">
            <v>5.0653103270646422</v>
          </cell>
          <cell r="E52">
            <v>4.1514055793214961</v>
          </cell>
          <cell r="F52">
            <v>3.5321586013471116</v>
          </cell>
          <cell r="G52">
            <v>3.2115612096216655</v>
          </cell>
        </row>
        <row r="53">
          <cell r="A53" t="str">
            <v>12:Q2</v>
          </cell>
          <cell r="B53">
            <v>5.124524601625426</v>
          </cell>
          <cell r="C53">
            <v>5.2327006942410428</v>
          </cell>
          <cell r="D53">
            <v>4.7555896151609165</v>
          </cell>
          <cell r="E53">
            <v>3.9138378744010049</v>
          </cell>
          <cell r="F53">
            <v>3.4136318670388208</v>
          </cell>
          <cell r="G53">
            <v>3.5452383820401736</v>
          </cell>
        </row>
        <row r="54">
          <cell r="A54" t="str">
            <v>12:Q3</v>
          </cell>
          <cell r="B54">
            <v>5.4139746972413594</v>
          </cell>
          <cell r="C54">
            <v>5.055236996231482</v>
          </cell>
          <cell r="D54">
            <v>4.3603808403461271</v>
          </cell>
          <cell r="E54">
            <v>3.812753685950701</v>
          </cell>
          <cell r="F54">
            <v>3.0371720986217547</v>
          </cell>
          <cell r="G54">
            <v>3.4572214124469487</v>
          </cell>
        </row>
        <row r="55">
          <cell r="A55" t="str">
            <v>12:Q4</v>
          </cell>
          <cell r="B55">
            <v>5.5323970528583741</v>
          </cell>
          <cell r="C55">
            <v>4.7154409479049484</v>
          </cell>
          <cell r="D55">
            <v>4.0286343704108125</v>
          </cell>
          <cell r="E55">
            <v>3.3119609619996897</v>
          </cell>
          <cell r="F55">
            <v>2.8946075292737063</v>
          </cell>
          <cell r="G55">
            <v>3.1244181634465509</v>
          </cell>
        </row>
        <row r="56">
          <cell r="A56" t="str">
            <v>13:Q1</v>
          </cell>
          <cell r="B56">
            <v>5.5345933683150683</v>
          </cell>
          <cell r="C56">
            <v>4.5751727319766022</v>
          </cell>
          <cell r="D56">
            <v>3.7926739780447893</v>
          </cell>
          <cell r="E56">
            <v>3.0405767032138562</v>
          </cell>
          <cell r="F56">
            <v>2.7374566116866061</v>
          </cell>
          <cell r="G56">
            <v>2.9682985388379572</v>
          </cell>
        </row>
        <row r="57">
          <cell r="A57" t="str">
            <v>13:Q2</v>
          </cell>
          <cell r="B57">
            <v>5.1778268701425292</v>
          </cell>
          <cell r="C57">
            <v>4.3370239950144738</v>
          </cell>
          <cell r="D57">
            <v>3.6455837088839558</v>
          </cell>
          <cell r="E57">
            <v>2.9053176891929868</v>
          </cell>
          <cell r="F57">
            <v>2.6495747562880112</v>
          </cell>
          <cell r="G57">
            <v>2.7535693172033677</v>
          </cell>
        </row>
        <row r="58">
          <cell r="A58" t="str">
            <v>13:Q3</v>
          </cell>
          <cell r="B58">
            <v>4.9724988959904906</v>
          </cell>
          <cell r="C58">
            <v>4.1100525259377418</v>
          </cell>
          <cell r="D58">
            <v>3.4258206626658483</v>
          </cell>
          <cell r="E58">
            <v>2.7419157639081688</v>
          </cell>
          <cell r="F58">
            <v>2.3889759130666715</v>
          </cell>
          <cell r="G58">
            <v>2.6350895722095236</v>
          </cell>
        </row>
        <row r="59">
          <cell r="A59" t="str">
            <v>13:Q4</v>
          </cell>
          <cell r="B59">
            <v>4.8272030584615244</v>
          </cell>
          <cell r="C59">
            <v>3.9806999871608113</v>
          </cell>
          <cell r="D59">
            <v>3.2261084781717257</v>
          </cell>
          <cell r="E59">
            <v>2.8210256242375409</v>
          </cell>
          <cell r="F59">
            <v>2.1849867996908245</v>
          </cell>
          <cell r="G59">
            <v>2.4818695104295316</v>
          </cell>
        </row>
        <row r="60">
          <cell r="A60" t="str">
            <v>14:Q1</v>
          </cell>
          <cell r="B60">
            <v>4.7993275563774782</v>
          </cell>
          <cell r="C60">
            <v>3.8375496783440251</v>
          </cell>
          <cell r="D60">
            <v>3.0110811680156511</v>
          </cell>
          <cell r="E60">
            <v>2.7543357272267732</v>
          </cell>
          <cell r="F60">
            <v>2.0567956541565264</v>
          </cell>
          <cell r="G60">
            <v>2.3173783835460946</v>
          </cell>
        </row>
        <row r="61">
          <cell r="A61" t="str">
            <v>14:Q2</v>
          </cell>
          <cell r="B61">
            <v>4.8946765445813858</v>
          </cell>
          <cell r="C61">
            <v>3.6803411580139063</v>
          </cell>
          <cell r="D61">
            <v>2.9651365222596353</v>
          </cell>
          <cell r="E61">
            <v>2.4967572847731998</v>
          </cell>
          <cell r="F61">
            <v>1.9098847702900663</v>
          </cell>
          <cell r="G61">
            <v>2.0548240831839322</v>
          </cell>
        </row>
        <row r="62">
          <cell r="A62" t="str">
            <v>14:Q3</v>
          </cell>
          <cell r="B62">
            <v>4.8946128860618456</v>
          </cell>
          <cell r="C62">
            <v>3.5245262050584634</v>
          </cell>
          <cell r="D62">
            <v>2.8587007005177392</v>
          </cell>
          <cell r="E62">
            <v>2.4016435676445571</v>
          </cell>
          <cell r="F62">
            <v>1.9034757858148232</v>
          </cell>
          <cell r="G62">
            <v>1.7719519511397701</v>
          </cell>
        </row>
        <row r="63">
          <cell r="A63" t="str">
            <v>14:Q4</v>
          </cell>
          <cell r="B63">
            <v>4.8266612844210348</v>
          </cell>
          <cell r="C63">
            <v>3.4928257641083489</v>
          </cell>
          <cell r="D63">
            <v>2.7921842098329508</v>
          </cell>
          <cell r="E63">
            <v>2.3053431839572029</v>
          </cell>
          <cell r="F63">
            <v>1.7666236152277131</v>
          </cell>
          <cell r="G63">
            <v>1.7567556523941665</v>
          </cell>
        </row>
        <row r="64">
          <cell r="A64" t="str">
            <v>15:Q1</v>
          </cell>
          <cell r="B64">
            <v>4.815626197233791</v>
          </cell>
          <cell r="C64">
            <v>3.395614114052087</v>
          </cell>
          <cell r="D64">
            <v>2.7544242993040209</v>
          </cell>
          <cell r="E64">
            <v>2.342448159680147</v>
          </cell>
          <cell r="F64">
            <v>1.4140252931976807</v>
          </cell>
          <cell r="G64">
            <v>1.677728122352026</v>
          </cell>
        </row>
        <row r="65">
          <cell r="A65" t="str">
            <v>15:Q2</v>
          </cell>
          <cell r="B65">
            <v>4.810312360557349</v>
          </cell>
          <cell r="C65">
            <v>3.4025450503145356</v>
          </cell>
          <cell r="D65">
            <v>2.7222962812479206</v>
          </cell>
          <cell r="E65">
            <v>2.3625491526712268</v>
          </cell>
          <cell r="F65">
            <v>1.3646004756794328</v>
          </cell>
          <cell r="G65">
            <v>1.7386058860221587</v>
          </cell>
        </row>
        <row r="66">
          <cell r="A66" t="str">
            <v>15:Q3</v>
          </cell>
          <cell r="B66">
            <v>4.8689325319526837</v>
          </cell>
          <cell r="C66">
            <v>3.4064319508156098</v>
          </cell>
          <cell r="D66">
            <v>2.6144609632132001</v>
          </cell>
          <cell r="E66">
            <v>2.3847390106819804</v>
          </cell>
          <cell r="F66">
            <v>1.3056387587509857</v>
          </cell>
          <cell r="G66">
            <v>1.9333086556274133</v>
          </cell>
        </row>
        <row r="67">
          <cell r="A67" t="str">
            <v>15:Q4</v>
          </cell>
          <cell r="B67">
            <v>4.9881686712714615</v>
          </cell>
          <cell r="C67">
            <v>3.2730347666871156</v>
          </cell>
          <cell r="D67">
            <v>2.7204093017049411</v>
          </cell>
          <cell r="E67">
            <v>2.1772810880797344</v>
          </cell>
          <cell r="F67">
            <v>1.2387501713628104</v>
          </cell>
          <cell r="G67">
            <v>1.7540762506339711</v>
          </cell>
        </row>
        <row r="68">
          <cell r="A68" t="str">
            <v>16:Q1</v>
          </cell>
          <cell r="B68">
            <v>4.9087316351579959</v>
          </cell>
          <cell r="C68">
            <v>3.1929440128489581</v>
          </cell>
          <cell r="D68">
            <v>2.6649691138459741</v>
          </cell>
          <cell r="E68">
            <v>2.0500114448692095</v>
          </cell>
          <cell r="F68">
            <v>1.3578938855021032</v>
          </cell>
          <cell r="G68">
            <v>1.6718097323758956</v>
          </cell>
        </row>
        <row r="69">
          <cell r="A69" t="str">
            <v>16:Q2</v>
          </cell>
          <cell r="B69">
            <v>4.9627011629931692</v>
          </cell>
          <cell r="C69">
            <v>3.0667897830527568</v>
          </cell>
          <cell r="D69">
            <v>2.4402659324015992</v>
          </cell>
          <cell r="E69">
            <v>2.040429930917794</v>
          </cell>
          <cell r="F69">
            <v>1.3417400075289905</v>
          </cell>
          <cell r="G69">
            <v>1.557110459095467</v>
          </cell>
        </row>
        <row r="70">
          <cell r="A70" t="str">
            <v>16:Q3</v>
          </cell>
          <cell r="B70">
            <v>4.9224359455451125</v>
          </cell>
          <cell r="C70">
            <v>2.9202697439520726</v>
          </cell>
          <cell r="D70">
            <v>2.4412170260688977</v>
          </cell>
          <cell r="E70">
            <v>1.9669816120707024</v>
          </cell>
          <cell r="F70">
            <v>1.3709690533198684</v>
          </cell>
          <cell r="G70">
            <v>1.3374064495935649</v>
          </cell>
        </row>
        <row r="71">
          <cell r="A71" t="str">
            <v>16:Q4</v>
          </cell>
          <cell r="B71">
            <v>4.9355660253537668</v>
          </cell>
          <cell r="C71">
            <v>2.8519828309466981</v>
          </cell>
          <cell r="D71">
            <v>2.3360310614922404</v>
          </cell>
          <cell r="E71">
            <v>2.1075460423560579</v>
          </cell>
          <cell r="F71">
            <v>1.5182049126849924</v>
          </cell>
          <cell r="G71">
            <v>1.4533137396062989</v>
          </cell>
        </row>
        <row r="72">
          <cell r="A72" t="str">
            <v>17:Q1</v>
          </cell>
          <cell r="B72">
            <v>4.9503779347335559</v>
          </cell>
          <cell r="C72">
            <v>2.941490310392183</v>
          </cell>
          <cell r="D72">
            <v>2.3442345513597118</v>
          </cell>
          <cell r="E72">
            <v>2.0821848868868877</v>
          </cell>
          <cell r="F72">
            <v>1.5283433522784613</v>
          </cell>
          <cell r="G72">
            <v>1.4765556544800826</v>
          </cell>
        </row>
        <row r="73">
          <cell r="A73" t="str">
            <v>17:Q2</v>
          </cell>
          <cell r="B73">
            <v>4.8682630424449638</v>
          </cell>
          <cell r="C73">
            <v>3.0211017633491668</v>
          </cell>
          <cell r="D73">
            <v>2.4046070962095905</v>
          </cell>
          <cell r="E73">
            <v>2.0937721120513872</v>
          </cell>
          <cell r="F73">
            <v>1.5060648415876063</v>
          </cell>
          <cell r="G73">
            <v>1.6072885922829492</v>
          </cell>
        </row>
        <row r="74">
          <cell r="A74" t="str">
            <v>17:Q3</v>
          </cell>
          <cell r="B74">
            <v>4.8964429491752828</v>
          </cell>
          <cell r="C74">
            <v>3.0799220002375587</v>
          </cell>
          <cell r="D74">
            <v>2.464860162923014</v>
          </cell>
          <cell r="E74">
            <v>2.0452664964445448</v>
          </cell>
          <cell r="F74">
            <v>1.4976791169640409</v>
          </cell>
          <cell r="G74">
            <v>1.5985360565826188</v>
          </cell>
        </row>
        <row r="75">
          <cell r="A75" t="str">
            <v>17:Q4</v>
          </cell>
          <cell r="B75">
            <v>4.6208088494853365</v>
          </cell>
          <cell r="C75">
            <v>2.9552742033904735</v>
          </cell>
          <cell r="D75">
            <v>2.4286938895258139</v>
          </cell>
          <cell r="E75">
            <v>1.9249683089567255</v>
          </cell>
          <cell r="F75">
            <v>1.4594897181021276</v>
          </cell>
          <cell r="G75">
            <v>1.4580401861778556</v>
          </cell>
        </row>
        <row r="76">
          <cell r="A76" t="str">
            <v>18:Q1</v>
          </cell>
          <cell r="B76">
            <v>4.5518340733137128</v>
          </cell>
          <cell r="C76">
            <v>2.8385273754957474</v>
          </cell>
          <cell r="D76">
            <v>2.3794392025753299</v>
          </cell>
          <cell r="E76">
            <v>1.9168870087002798</v>
          </cell>
          <cell r="F76">
            <v>1.461312518875544</v>
          </cell>
          <cell r="G76">
            <v>1.5848733931963794</v>
          </cell>
        </row>
        <row r="77">
          <cell r="A77" t="str">
            <v>18:Q2</v>
          </cell>
          <cell r="B77">
            <v>4.3735253643667154</v>
          </cell>
          <cell r="C77">
            <v>2.8484002584028252</v>
          </cell>
          <cell r="D77">
            <v>2.381775687739661</v>
          </cell>
          <cell r="E77">
            <v>1.9864192052305818</v>
          </cell>
          <cell r="F77">
            <v>1.5461946383275686</v>
          </cell>
          <cell r="G77">
            <v>1.6031267490622021</v>
          </cell>
        </row>
        <row r="78">
          <cell r="A78" t="str">
            <v>18:Q3</v>
          </cell>
          <cell r="B78">
            <v>4.4134441235986195</v>
          </cell>
          <cell r="C78">
            <v>2.9038848046067574</v>
          </cell>
          <cell r="D78">
            <v>2.3754501301988453</v>
          </cell>
          <cell r="E78">
            <v>2.092409912494813</v>
          </cell>
          <cell r="F78">
            <v>1.5269112982732953</v>
          </cell>
          <cell r="G78">
            <v>1.7504595510091321</v>
          </cell>
        </row>
        <row r="79">
          <cell r="A79" t="str">
            <v>18:Q4</v>
          </cell>
          <cell r="B79">
            <v>4.3460684635629399</v>
          </cell>
          <cell r="C79">
            <v>2.9371780864970538</v>
          </cell>
          <cell r="D79">
            <v>2.3126826085239438</v>
          </cell>
          <cell r="E79">
            <v>2.1807727770204686</v>
          </cell>
          <cell r="F79">
            <v>1.4393847802896955</v>
          </cell>
          <cell r="G79">
            <v>1.8176470747766442</v>
          </cell>
        </row>
        <row r="80">
          <cell r="A80" t="str">
            <v>19:Q1</v>
          </cell>
          <cell r="B80">
            <v>4.4098471203539971</v>
          </cell>
          <cell r="C80">
            <v>2.9910763296936329</v>
          </cell>
          <cell r="D80">
            <v>2.2869791934072303</v>
          </cell>
          <cell r="E80">
            <v>2.1530957797225616</v>
          </cell>
          <cell r="F80">
            <v>1.4745351155698168</v>
          </cell>
          <cell r="G80">
            <v>1.5688076833918516</v>
          </cell>
        </row>
        <row r="81">
          <cell r="A81" t="str">
            <v>19:Q2</v>
          </cell>
          <cell r="B81">
            <v>4.4364349444764475</v>
          </cell>
          <cell r="C81">
            <v>3.0038998311315956</v>
          </cell>
          <cell r="D81">
            <v>2.4100974779829363</v>
          </cell>
          <cell r="E81">
            <v>2.0753768100515932</v>
          </cell>
          <cell r="F81">
            <v>1.4445658401897294</v>
          </cell>
          <cell r="G81">
            <v>1.4902802199521072</v>
          </cell>
        </row>
        <row r="82">
          <cell r="A82" t="str">
            <v>19:Q3</v>
          </cell>
          <cell r="B82">
            <v>4.1920058468705541</v>
          </cell>
          <cell r="C82">
            <v>2.765879932121563</v>
          </cell>
          <cell r="D82">
            <v>2.3646648993589472</v>
          </cell>
          <cell r="E82">
            <v>2.0461207107719708</v>
          </cell>
          <cell r="F82">
            <v>1.4193295782947293</v>
          </cell>
          <cell r="G82">
            <v>1.3198826463364357</v>
          </cell>
        </row>
        <row r="83">
          <cell r="A83" t="str">
            <v>19:Q4</v>
          </cell>
          <cell r="B83">
            <v>4.297306372630973</v>
          </cell>
          <cell r="C83">
            <v>2.772495911601272</v>
          </cell>
          <cell r="D83">
            <v>2.4727808404571188</v>
          </cell>
          <cell r="E83">
            <v>2.064088245704677</v>
          </cell>
          <cell r="F83">
            <v>1.5583310478464947</v>
          </cell>
          <cell r="G83">
            <v>1.6380951219491062</v>
          </cell>
        </row>
        <row r="84">
          <cell r="A84" t="str">
            <v>20:Q1</v>
          </cell>
          <cell r="B84">
            <v>4.0852877880588343</v>
          </cell>
          <cell r="C84">
            <v>2.7283845878474349</v>
          </cell>
          <cell r="D84">
            <v>2.5382074124443577</v>
          </cell>
          <cell r="E84">
            <v>2.1104047880041286</v>
          </cell>
          <cell r="F84">
            <v>1.5786015654921368</v>
          </cell>
          <cell r="G84">
            <v>1.8118161566226081</v>
          </cell>
        </row>
        <row r="85">
          <cell r="A85" t="str">
            <v>20:Q2</v>
          </cell>
          <cell r="B85">
            <v>3.3132260222339198</v>
          </cell>
          <cell r="C85">
            <v>2.2437288006292055</v>
          </cell>
          <cell r="D85">
            <v>2.1310434011130703</v>
          </cell>
          <cell r="E85">
            <v>1.916696543567644</v>
          </cell>
          <cell r="F85">
            <v>1.4451864929360698</v>
          </cell>
          <cell r="G85">
            <v>1.6742946524344369</v>
          </cell>
        </row>
        <row r="86">
          <cell r="A86" t="str">
            <v>20:Q3</v>
          </cell>
          <cell r="B86">
            <v>2.5015598711224363</v>
          </cell>
          <cell r="C86">
            <v>1.804928575669809</v>
          </cell>
          <cell r="D86">
            <v>1.7599271776250776</v>
          </cell>
          <cell r="E86">
            <v>1.6113488195623415</v>
          </cell>
          <cell r="F86">
            <v>1.2818772217924224</v>
          </cell>
          <cell r="G86">
            <v>1.5997461577524918</v>
          </cell>
        </row>
        <row r="87">
          <cell r="A87" t="str">
            <v>20:Q4</v>
          </cell>
          <cell r="B87">
            <v>1.6176175116860858</v>
          </cell>
          <cell r="C87">
            <v>1.2906157238168423</v>
          </cell>
          <cell r="D87">
            <v>1.2850733282932982</v>
          </cell>
          <cell r="E87">
            <v>1.2435079139588763</v>
          </cell>
          <cell r="F87">
            <v>1.0111051874797863</v>
          </cell>
          <cell r="G87">
            <v>1.112084117185159</v>
          </cell>
        </row>
        <row r="88">
          <cell r="A88" t="str">
            <v>21:Q1</v>
          </cell>
          <cell r="B88">
            <v>1.1203166711923378</v>
          </cell>
          <cell r="C88">
            <v>0.80817111231298344</v>
          </cell>
          <cell r="D88">
            <v>0.88234256820832258</v>
          </cell>
          <cell r="E88">
            <v>0.89159051827599378</v>
          </cell>
          <cell r="F88">
            <v>0.73553849481181255</v>
          </cell>
          <cell r="G88">
            <v>0.84113852126752287</v>
          </cell>
        </row>
        <row r="89">
          <cell r="A89" t="str">
            <v>21:Q2</v>
          </cell>
          <cell r="B89">
            <v>0.97291918586005799</v>
          </cell>
          <cell r="C89">
            <v>0.70915900542853605</v>
          </cell>
          <cell r="D89">
            <v>0.78724404101341205</v>
          </cell>
          <cell r="E89">
            <v>0.72492009510276301</v>
          </cell>
          <cell r="F89">
            <v>0.68966111016859799</v>
          </cell>
          <cell r="G89">
            <v>0.72225712082187699</v>
          </cell>
        </row>
        <row r="90">
          <cell r="A90" t="str">
            <v>21:Q3</v>
          </cell>
          <cell r="B90">
            <v>0.9844912451554173</v>
          </cell>
          <cell r="C90">
            <v>0.66052899640202334</v>
          </cell>
          <cell r="D90">
            <v>0.73020917703041155</v>
          </cell>
          <cell r="E90">
            <v>0.65897706592666838</v>
          </cell>
          <cell r="F90">
            <v>0.64333264952062763</v>
          </cell>
          <cell r="G90">
            <v>0.63058351293901804</v>
          </cell>
        </row>
        <row r="91">
          <cell r="A91" t="str">
            <v>21:Q4</v>
          </cell>
          <cell r="B91">
            <v>1.0255099488539048</v>
          </cell>
          <cell r="C91">
            <v>0.67237561994828343</v>
          </cell>
          <cell r="D91">
            <v>0.74588265515499153</v>
          </cell>
          <cell r="E91">
            <v>0.59800392573288197</v>
          </cell>
          <cell r="F91">
            <v>0.65140274795382269</v>
          </cell>
          <cell r="G91">
            <v>0.62072759948930079</v>
          </cell>
        </row>
        <row r="92">
          <cell r="A92" t="str">
            <v>22:Q1</v>
          </cell>
          <cell r="B92">
            <v>1.07</v>
          </cell>
          <cell r="C92">
            <v>0.71</v>
          </cell>
          <cell r="D92">
            <v>0.76</v>
          </cell>
          <cell r="E92">
            <v>0.6</v>
          </cell>
          <cell r="F92">
            <v>0.66</v>
          </cell>
          <cell r="G92">
            <v>0.72</v>
          </cell>
        </row>
        <row r="93">
          <cell r="A93" t="str">
            <v>22:Q2</v>
          </cell>
          <cell r="B93">
            <v>1.3207897797611654</v>
          </cell>
          <cell r="C93">
            <v>0.86486793589023625</v>
          </cell>
          <cell r="D93">
            <v>0.88590376677663352</v>
          </cell>
          <cell r="E93">
            <v>0.70453499661331032</v>
          </cell>
          <cell r="F93">
            <v>0.69297518472409714</v>
          </cell>
          <cell r="G93">
            <v>0.8134835912654258</v>
          </cell>
        </row>
        <row r="94">
          <cell r="A94" t="str">
            <v>22:Q3</v>
          </cell>
          <cell r="B94">
            <v>1.5029534186213849</v>
          </cell>
          <cell r="C94">
            <v>0.97263566941962731</v>
          </cell>
          <cell r="D94">
            <v>1.032001662145797</v>
          </cell>
          <cell r="E94">
            <v>0.77578508020054171</v>
          </cell>
          <cell r="F94">
            <v>0.72210367427233602</v>
          </cell>
          <cell r="G94">
            <v>0.93132094727525938</v>
          </cell>
        </row>
        <row r="95">
          <cell r="A95" t="str">
            <v>22:Q4</v>
          </cell>
          <cell r="B95">
            <v>1.6834532086323171</v>
          </cell>
          <cell r="C95">
            <v>1.1410778040120968</v>
          </cell>
          <cell r="D95">
            <v>1.0987972940286084</v>
          </cell>
          <cell r="E95">
            <v>0.83751539240510509</v>
          </cell>
          <cell r="F95">
            <v>0.780003160272697</v>
          </cell>
          <cell r="G95">
            <v>0.91061177491451906</v>
          </cell>
        </row>
        <row r="96">
          <cell r="A96" t="str">
            <v>23:Q1</v>
          </cell>
          <cell r="B96">
            <v>1.8663390267051927</v>
          </cell>
          <cell r="C96">
            <v>1.2218240194430352</v>
          </cell>
          <cell r="D96">
            <v>1.1366084182680056</v>
          </cell>
          <cell r="E96">
            <v>0.88820598025992559</v>
          </cell>
          <cell r="F96">
            <v>0.77440563341806279</v>
          </cell>
          <cell r="G96">
            <v>0.98960298148761772</v>
          </cell>
        </row>
        <row r="97">
          <cell r="A97" t="str">
            <v>23:Q2</v>
          </cell>
          <cell r="B97">
            <v>1.9375786707584637</v>
          </cell>
          <cell r="C97">
            <v>1.2862623334036281</v>
          </cell>
          <cell r="D97">
            <v>1.2308708684368925</v>
          </cell>
          <cell r="E97">
            <v>0.93484741389082604</v>
          </cell>
          <cell r="F97">
            <v>0.8383290266048391</v>
          </cell>
          <cell r="G97">
            <v>1.0748199805658867</v>
          </cell>
        </row>
        <row r="98">
          <cell r="A98" t="str">
            <v>23:Q3</v>
          </cell>
          <cell r="B98">
            <v>2.061157622952174</v>
          </cell>
          <cell r="C98">
            <v>1.4684534221264183</v>
          </cell>
          <cell r="D98">
            <v>1.331915400370792</v>
          </cell>
          <cell r="E98">
            <v>1.0947054091016732</v>
          </cell>
          <cell r="F98">
            <v>0.91965146693520439</v>
          </cell>
          <cell r="G98">
            <v>1.1137723798799335</v>
          </cell>
        </row>
        <row r="99">
          <cell r="A99" t="str">
            <v>23:Q4</v>
          </cell>
          <cell r="B99">
            <v>2.2680983480918946</v>
          </cell>
          <cell r="C99">
            <v>1.5315618714683856</v>
          </cell>
          <cell r="D99">
            <v>1.4141787490057278</v>
          </cell>
          <cell r="E99">
            <v>1.3003493101415922</v>
          </cell>
          <cell r="F99">
            <v>0.98344679323660211</v>
          </cell>
          <cell r="G99">
            <v>1.3222769582691942</v>
          </cell>
        </row>
        <row r="100">
          <cell r="A100" t="str">
            <v>24:Q1</v>
          </cell>
          <cell r="B100">
            <v>2.3574966035504157</v>
          </cell>
          <cell r="C100">
            <v>1.6503314749862725</v>
          </cell>
          <cell r="D100">
            <v>1.6137969059166719</v>
          </cell>
          <cell r="E100">
            <v>1.4812291908140551</v>
          </cell>
          <cell r="F100">
            <v>1.0345617744376283</v>
          </cell>
          <cell r="G100">
            <v>1.2820169972378757</v>
          </cell>
        </row>
        <row r="101">
          <cell r="A101" t="str">
            <v>24:Q2</v>
          </cell>
          <cell r="B101">
            <v>2.3432866711051115</v>
          </cell>
          <cell r="C101">
            <v>1.7533544243579124</v>
          </cell>
          <cell r="D101">
            <v>1.633860156650591</v>
          </cell>
          <cell r="E101">
            <v>1.6191616104813371</v>
          </cell>
          <cell r="F101">
            <v>1.0890287806319185</v>
          </cell>
          <cell r="G101">
            <v>1.2361665811623326</v>
          </cell>
        </row>
        <row r="102">
          <cell r="A102" t="str">
            <v>24:Q3</v>
          </cell>
          <cell r="B102">
            <v>2.404169385388562</v>
          </cell>
          <cell r="C102">
            <v>1.8269950148921572</v>
          </cell>
          <cell r="D102">
            <v>1.7437983228517882</v>
          </cell>
          <cell r="E102">
            <v>1.7689119781784484</v>
          </cell>
          <cell r="F102">
            <v>1.1403352480966733</v>
          </cell>
          <cell r="G102">
            <v>1.2681431675989285</v>
          </cell>
        </row>
        <row r="103">
          <cell r="A103" t="str">
            <v>24:Q4</v>
          </cell>
          <cell r="B103">
            <v>2.3476646179127356</v>
          </cell>
          <cell r="C103">
            <v>1.8711380545263354</v>
          </cell>
          <cell r="D103">
            <v>1.7978005134322919</v>
          </cell>
          <cell r="E103">
            <v>1.7766627803204749</v>
          </cell>
          <cell r="F103">
            <v>1.1320653250818726</v>
          </cell>
          <cell r="G103">
            <v>1.2986644108899166</v>
          </cell>
        </row>
        <row r="104">
          <cell r="A104" t="str">
            <v>25:Q1</v>
          </cell>
          <cell r="B104">
            <v>3.3490400199403942</v>
          </cell>
          <cell r="C104">
            <v>2.9729888223288885</v>
          </cell>
          <cell r="D104">
            <v>2.4146584391371269</v>
          </cell>
          <cell r="E104">
            <v>2.4694458357245521</v>
          </cell>
          <cell r="F104">
            <v>1.7241975158026737</v>
          </cell>
          <cell r="G104">
            <v>1.690674976926259</v>
          </cell>
        </row>
        <row r="105">
          <cell r="A105" t="str">
            <v>25:Q2</v>
          </cell>
          <cell r="B105">
            <v>4.5801614979146779</v>
          </cell>
          <cell r="C105">
            <v>3.492158098452617</v>
          </cell>
          <cell r="D105">
            <v>2.8765119754409767</v>
          </cell>
          <cell r="E105">
            <v>2.8575510892703404</v>
          </cell>
          <cell r="F105">
            <v>2.0629681333707595</v>
          </cell>
          <cell r="G105">
            <v>1.9335331009480112</v>
          </cell>
        </row>
        <row r="106">
          <cell r="A106" t="str">
            <v>25:Q3</v>
          </cell>
          <cell r="B106">
            <v>4.9530213591856294</v>
          </cell>
          <cell r="C106">
            <v>3.7214990348814334</v>
          </cell>
          <cell r="D106">
            <v>2.9865828717621485</v>
          </cell>
          <cell r="E106">
            <v>2.8065756386077787</v>
          </cell>
          <cell r="F106">
            <v>2.172809733776937</v>
          </cell>
          <cell r="G106">
            <v>2.1321737025631062</v>
          </cell>
        </row>
        <row r="107">
          <cell r="A107" t="str">
            <v>25:Q4</v>
          </cell>
          <cell r="B107">
            <v>5.3382028836460886</v>
          </cell>
          <cell r="C107">
            <v>3.9396199426538803</v>
          </cell>
          <cell r="D107">
            <v>3.1939111770318251</v>
          </cell>
          <cell r="E107">
            <v>3.1289115794167577</v>
          </cell>
          <cell r="F107">
            <v>2.3667468241792502</v>
          </cell>
          <cell r="G107">
            <v>2.1372694868301716</v>
          </cell>
        </row>
        <row r="108">
          <cell r="A108" t="str">
            <v>26:Q1</v>
          </cell>
          <cell r="B108">
            <v>4.7280362503552658</v>
          </cell>
          <cell r="C108">
            <v>3.2625128358661826</v>
          </cell>
          <cell r="D108">
            <v>2.8464517523140902</v>
          </cell>
          <cell r="E108">
            <v>2.8047571844837678</v>
          </cell>
          <cell r="F108">
            <v>1.9866905467038656</v>
          </cell>
          <cell r="G108">
            <v>1.905186019964096</v>
          </cell>
        </row>
      </sheetData>
      <sheetData sheetId="43" refreshError="1"/>
      <sheetData sheetId="44">
        <row r="1">
          <cell r="A1" t="str">
            <v>Transition into Serious Delinquency (90+) for Mortgages by Age</v>
          </cell>
        </row>
        <row r="2">
          <cell r="A2" t="str">
            <v>Percent</v>
          </cell>
        </row>
        <row r="3">
          <cell r="A3" t="str">
            <v>quarter</v>
          </cell>
          <cell r="B3" t="str">
            <v>18-29</v>
          </cell>
          <cell r="C3" t="str">
            <v>30-39</v>
          </cell>
          <cell r="D3" t="str">
            <v>40-49</v>
          </cell>
          <cell r="E3" t="str">
            <v>50-59</v>
          </cell>
          <cell r="F3" t="str">
            <v>60-69</v>
          </cell>
          <cell r="G3" t="str">
            <v>70+</v>
          </cell>
          <cell r="H3" t="str">
            <v>all</v>
          </cell>
        </row>
        <row r="4">
          <cell r="A4" t="str">
            <v>00:Q1</v>
          </cell>
          <cell r="B4">
            <v>1.9207055931506585</v>
          </cell>
          <cell r="C4">
            <v>1.2331355977909435</v>
          </cell>
          <cell r="D4">
            <v>1.019235723278713</v>
          </cell>
          <cell r="E4">
            <v>0.92528380441587554</v>
          </cell>
          <cell r="F4">
            <v>0.40993202928989497</v>
          </cell>
          <cell r="G4">
            <v>0.84674308566713097</v>
          </cell>
          <cell r="H4">
            <v>1.0660502280306301</v>
          </cell>
        </row>
        <row r="5">
          <cell r="A5" t="str">
            <v>00:Q2</v>
          </cell>
          <cell r="B5">
            <v>2.0503604530217023</v>
          </cell>
          <cell r="C5">
            <v>1.1944916383221327</v>
          </cell>
          <cell r="D5">
            <v>0.97004428073477111</v>
          </cell>
          <cell r="E5">
            <v>0.924425853078222</v>
          </cell>
          <cell r="F5">
            <v>0.44219643632462008</v>
          </cell>
          <cell r="G5">
            <v>1.1249116118831306</v>
          </cell>
          <cell r="H5">
            <v>1.0596718380832051</v>
          </cell>
        </row>
        <row r="6">
          <cell r="A6" t="str">
            <v>00:Q3</v>
          </cell>
          <cell r="B6">
            <v>1.6701006797809022</v>
          </cell>
          <cell r="C6">
            <v>1.2063515652992161</v>
          </cell>
          <cell r="D6">
            <v>0.92910175034650844</v>
          </cell>
          <cell r="E6">
            <v>0.81100334706952615</v>
          </cell>
          <cell r="F6">
            <v>0.47620065610190132</v>
          </cell>
          <cell r="G6">
            <v>1.1050289720002462</v>
          </cell>
          <cell r="H6">
            <v>1.007456693301261</v>
          </cell>
        </row>
        <row r="7">
          <cell r="A7" t="str">
            <v>00:Q4</v>
          </cell>
          <cell r="B7">
            <v>1.7665851464798736</v>
          </cell>
          <cell r="C7">
            <v>1.3336850819115584</v>
          </cell>
          <cell r="D7">
            <v>1.1321606222227705</v>
          </cell>
          <cell r="E7">
            <v>0.89517453827296745</v>
          </cell>
          <cell r="F7">
            <v>0.45055876231739439</v>
          </cell>
          <cell r="G7">
            <v>1.2742142760320647</v>
          </cell>
          <cell r="H7">
            <v>1.1322802561954171</v>
          </cell>
        </row>
        <row r="8">
          <cell r="A8" t="str">
            <v>01:Q1</v>
          </cell>
          <cell r="B8">
            <v>2.0663635103523261</v>
          </cell>
          <cell r="C8">
            <v>1.3220619988871571</v>
          </cell>
          <cell r="D8">
            <v>1.1757350797223221</v>
          </cell>
          <cell r="E8">
            <v>0.96105898749960916</v>
          </cell>
          <cell r="F8">
            <v>0.60294355488000173</v>
          </cell>
          <cell r="G8">
            <v>1.319900272174509</v>
          </cell>
          <cell r="H8">
            <v>1.1813403591472857</v>
          </cell>
        </row>
        <row r="9">
          <cell r="A9" t="str">
            <v>01:Q2</v>
          </cell>
          <cell r="B9">
            <v>2.1140448896967436</v>
          </cell>
          <cell r="C9">
            <v>1.4528536712261142</v>
          </cell>
          <cell r="D9">
            <v>1.3386772555952517</v>
          </cell>
          <cell r="E9">
            <v>0.93753468637658333</v>
          </cell>
          <cell r="F9">
            <v>0.60185205283433774</v>
          </cell>
          <cell r="G9">
            <v>1.1448739765349509</v>
          </cell>
          <cell r="H9">
            <v>1.2562641473708756</v>
          </cell>
        </row>
        <row r="10">
          <cell r="A10" t="str">
            <v>01:Q3</v>
          </cell>
          <cell r="B10">
            <v>2.7828410240014936</v>
          </cell>
          <cell r="C10">
            <v>1.6080452001922172</v>
          </cell>
          <cell r="D10">
            <v>1.3894316457047091</v>
          </cell>
          <cell r="E10">
            <v>1.0586675827147138</v>
          </cell>
          <cell r="F10">
            <v>0.68989091107448874</v>
          </cell>
          <cell r="G10">
            <v>1.1712838432045516</v>
          </cell>
          <cell r="H10">
            <v>1.3802280330543644</v>
          </cell>
        </row>
        <row r="11">
          <cell r="A11" t="str">
            <v>01:Q4</v>
          </cell>
          <cell r="B11">
            <v>3.0193867720822816</v>
          </cell>
          <cell r="C11">
            <v>1.6631835299170519</v>
          </cell>
          <cell r="D11">
            <v>1.3247908907845145</v>
          </cell>
          <cell r="E11">
            <v>1.118477037342843</v>
          </cell>
          <cell r="F11">
            <v>1.0312918735143994</v>
          </cell>
          <cell r="G11">
            <v>1.0005293858060584</v>
          </cell>
          <cell r="H11">
            <v>1.4132069231382192</v>
          </cell>
        </row>
        <row r="12">
          <cell r="A12" t="str">
            <v>02:Q1</v>
          </cell>
          <cell r="B12">
            <v>3.0763871347178631</v>
          </cell>
          <cell r="C12">
            <v>1.6272670554758315</v>
          </cell>
          <cell r="D12">
            <v>1.4470855443550454</v>
          </cell>
          <cell r="E12">
            <v>1.0822265170122529</v>
          </cell>
          <cell r="F12">
            <v>1.4148124183386848</v>
          </cell>
          <cell r="G12">
            <v>1.106602763689132</v>
          </cell>
          <cell r="H12">
            <v>1.4691641888435674</v>
          </cell>
        </row>
        <row r="13">
          <cell r="A13" t="str">
            <v>02:Q2</v>
          </cell>
          <cell r="B13">
            <v>2.8952705246811359</v>
          </cell>
          <cell r="C13">
            <v>1.5757010661084554</v>
          </cell>
          <cell r="D13">
            <v>1.3820743521795453</v>
          </cell>
          <cell r="E13">
            <v>1.1829082634389705</v>
          </cell>
          <cell r="F13">
            <v>1.4133340247365247</v>
          </cell>
          <cell r="G13">
            <v>0.91325510075924399</v>
          </cell>
          <cell r="H13">
            <v>1.4401530580293358</v>
          </cell>
        </row>
        <row r="14">
          <cell r="A14" t="str">
            <v>02:Q3</v>
          </cell>
          <cell r="B14">
            <v>2.671997397795792</v>
          </cell>
          <cell r="C14">
            <v>1.4835276246502254</v>
          </cell>
          <cell r="D14">
            <v>1.4381614445376623</v>
          </cell>
          <cell r="E14">
            <v>1.2096945692142893</v>
          </cell>
          <cell r="F14">
            <v>1.4801124253951072</v>
          </cell>
          <cell r="G14">
            <v>0.95601566304023278</v>
          </cell>
          <cell r="H14">
            <v>1.4373153209672518</v>
          </cell>
        </row>
        <row r="15">
          <cell r="A15" t="str">
            <v>02:Q4</v>
          </cell>
          <cell r="B15">
            <v>2.6595051999442574</v>
          </cell>
          <cell r="C15">
            <v>1.4056543430407351</v>
          </cell>
          <cell r="D15">
            <v>1.5642381556106422</v>
          </cell>
          <cell r="E15">
            <v>1.1680790433417914</v>
          </cell>
          <cell r="F15">
            <v>1.2045347538321325</v>
          </cell>
          <cell r="G15">
            <v>1.6036365673695239</v>
          </cell>
          <cell r="H15">
            <v>1.452523329124765</v>
          </cell>
        </row>
        <row r="16">
          <cell r="A16" t="str">
            <v>03:Q1</v>
          </cell>
          <cell r="B16">
            <v>2.7753533891873396</v>
          </cell>
          <cell r="C16">
            <v>1.4959558178376613</v>
          </cell>
          <cell r="D16">
            <v>1.4591099259388209</v>
          </cell>
          <cell r="E16">
            <v>1.2548380059252762</v>
          </cell>
          <cell r="F16">
            <v>0.76386612795666475</v>
          </cell>
          <cell r="G16">
            <v>1.7164995647504666</v>
          </cell>
          <cell r="H16">
            <v>1.4426620910269472</v>
          </cell>
        </row>
        <row r="17">
          <cell r="A17" t="str">
            <v>03:Q2</v>
          </cell>
          <cell r="B17">
            <v>2.824342093290086</v>
          </cell>
          <cell r="C17">
            <v>1.5874614619218248</v>
          </cell>
          <cell r="D17">
            <v>1.5144880596435564</v>
          </cell>
          <cell r="E17">
            <v>1.1911444669124738</v>
          </cell>
          <cell r="F17">
            <v>0.911434669441473</v>
          </cell>
          <cell r="G17">
            <v>1.972140487539404</v>
          </cell>
          <cell r="H17">
            <v>1.4982636174816557</v>
          </cell>
        </row>
        <row r="18">
          <cell r="A18" t="str">
            <v>03:Q3</v>
          </cell>
          <cell r="B18">
            <v>2.6329052671485402</v>
          </cell>
          <cell r="C18">
            <v>1.6551504204436702</v>
          </cell>
          <cell r="D18">
            <v>1.516832468380509</v>
          </cell>
          <cell r="E18">
            <v>1.1624688315036436</v>
          </cell>
          <cell r="F18">
            <v>0.92286188907417421</v>
          </cell>
          <cell r="G18">
            <v>1.9893189683089691</v>
          </cell>
          <cell r="H18">
            <v>1.5023981928812344</v>
          </cell>
        </row>
        <row r="19">
          <cell r="A19" t="str">
            <v>03:Q4</v>
          </cell>
          <cell r="B19">
            <v>2.6080333459317173</v>
          </cell>
          <cell r="C19">
            <v>1.6670588777821633</v>
          </cell>
          <cell r="D19">
            <v>1.3671560278834656</v>
          </cell>
          <cell r="E19">
            <v>1.1386738204575375</v>
          </cell>
          <cell r="F19">
            <v>0.97624857155595746</v>
          </cell>
          <cell r="G19">
            <v>1.7623013537245862</v>
          </cell>
          <cell r="H19">
            <v>1.4444348893458521</v>
          </cell>
        </row>
        <row r="20">
          <cell r="A20" t="str">
            <v>04:Q1</v>
          </cell>
          <cell r="B20">
            <v>2.0949431732532666</v>
          </cell>
          <cell r="C20">
            <v>1.5808763909327961</v>
          </cell>
          <cell r="D20">
            <v>1.349213264263269</v>
          </cell>
          <cell r="E20">
            <v>1.0149878079710133</v>
          </cell>
          <cell r="F20">
            <v>0.92944610676460893</v>
          </cell>
          <cell r="G20">
            <v>1.3723141889740338</v>
          </cell>
          <cell r="H20">
            <v>1.3373755641441412</v>
          </cell>
        </row>
        <row r="21">
          <cell r="A21" t="str">
            <v>04:Q2</v>
          </cell>
          <cell r="B21">
            <v>2.1367470371739814</v>
          </cell>
          <cell r="C21">
            <v>1.5238473852852807</v>
          </cell>
          <cell r="D21">
            <v>1.3348893466286333</v>
          </cell>
          <cell r="E21">
            <v>0.97368428655921035</v>
          </cell>
          <cell r="F21">
            <v>0.80217303516512106</v>
          </cell>
          <cell r="G21">
            <v>1.2959074585574024</v>
          </cell>
          <cell r="H21">
            <v>1.2936929582467247</v>
          </cell>
        </row>
        <row r="22">
          <cell r="A22" t="str">
            <v>04:Q3</v>
          </cell>
          <cell r="B22">
            <v>2.3020745962816105</v>
          </cell>
          <cell r="C22">
            <v>1.5399302288774037</v>
          </cell>
          <cell r="D22">
            <v>1.4155795270648839</v>
          </cell>
          <cell r="E22">
            <v>0.97654308058467609</v>
          </cell>
          <cell r="F22">
            <v>0.85491760415851492</v>
          </cell>
          <cell r="G22">
            <v>1.5373286760718623</v>
          </cell>
          <cell r="H22">
            <v>1.3448909375475244</v>
          </cell>
        </row>
        <row r="23">
          <cell r="A23" t="str">
            <v>04:Q4</v>
          </cell>
          <cell r="B23">
            <v>2.0880229967975201</v>
          </cell>
          <cell r="C23">
            <v>1.5921889593074798</v>
          </cell>
          <cell r="D23">
            <v>1.4298521288736872</v>
          </cell>
          <cell r="E23">
            <v>1.0597288258941593</v>
          </cell>
          <cell r="F23">
            <v>0.85700374514955502</v>
          </cell>
          <cell r="G23">
            <v>1.2959412975910582</v>
          </cell>
          <cell r="H23">
            <v>1.3600918030936584</v>
          </cell>
        </row>
        <row r="24">
          <cell r="A24" t="str">
            <v>05:Q1</v>
          </cell>
          <cell r="B24">
            <v>2.4112565058485509</v>
          </cell>
          <cell r="C24">
            <v>1.5642405330655382</v>
          </cell>
          <cell r="D24">
            <v>1.3228555352477829</v>
          </cell>
          <cell r="E24">
            <v>1.1317073955639589</v>
          </cell>
          <cell r="F24">
            <v>0.84594790984787904</v>
          </cell>
          <cell r="G24">
            <v>1.5732960903599484</v>
          </cell>
          <cell r="H24">
            <v>1.3599700694679606</v>
          </cell>
        </row>
        <row r="25">
          <cell r="A25" t="str">
            <v>05:Q2</v>
          </cell>
          <cell r="B25">
            <v>2.3092155764803408</v>
          </cell>
          <cell r="C25">
            <v>1.6491422220708958</v>
          </cell>
          <cell r="D25">
            <v>1.239090590323177</v>
          </cell>
          <cell r="E25">
            <v>1.1802914133479767</v>
          </cell>
          <cell r="F25">
            <v>0.95960970033162596</v>
          </cell>
          <cell r="G25">
            <v>1.5198992958932676</v>
          </cell>
          <cell r="H25">
            <v>1.3684298911835271</v>
          </cell>
        </row>
        <row r="26">
          <cell r="A26" t="str">
            <v>05:Q3</v>
          </cell>
          <cell r="B26">
            <v>2.0874600652284547</v>
          </cell>
          <cell r="C26">
            <v>1.6223836253254318</v>
          </cell>
          <cell r="D26">
            <v>1.1547111509922812</v>
          </cell>
          <cell r="E26">
            <v>1.1547889172891224</v>
          </cell>
          <cell r="F26">
            <v>0.81509084831070111</v>
          </cell>
          <cell r="G26">
            <v>1.6436816560500875</v>
          </cell>
          <cell r="H26">
            <v>1.3088875266625088</v>
          </cell>
        </row>
        <row r="27">
          <cell r="A27" t="str">
            <v>05:Q4</v>
          </cell>
          <cell r="B27">
            <v>2.1770132952755619</v>
          </cell>
          <cell r="C27">
            <v>1.600932841783145</v>
          </cell>
          <cell r="D27">
            <v>1.1363471464353283</v>
          </cell>
          <cell r="E27">
            <v>1.0573790365526246</v>
          </cell>
          <cell r="F27">
            <v>0.73649721708549098</v>
          </cell>
          <cell r="G27">
            <v>1.4385199864439735</v>
          </cell>
          <cell r="H27">
            <v>1.2695149657600966</v>
          </cell>
        </row>
        <row r="28">
          <cell r="A28" t="str">
            <v>06:Q1</v>
          </cell>
          <cell r="B28">
            <v>2.2307884193727192</v>
          </cell>
          <cell r="C28">
            <v>1.6860962773813633</v>
          </cell>
          <cell r="D28">
            <v>1.2301713714621128</v>
          </cell>
          <cell r="E28">
            <v>0.98160983608167474</v>
          </cell>
          <cell r="F28">
            <v>0.86783551404525228</v>
          </cell>
          <cell r="G28">
            <v>1.2908760336033231</v>
          </cell>
          <cell r="H28">
            <v>1.315812621052503</v>
          </cell>
        </row>
        <row r="29">
          <cell r="A29" t="str">
            <v>06:Q2</v>
          </cell>
          <cell r="B29">
            <v>2.3766658939075098</v>
          </cell>
          <cell r="C29">
            <v>1.6295984909012247</v>
          </cell>
          <cell r="D29">
            <v>1.2518308543063503</v>
          </cell>
          <cell r="E29">
            <v>0.97604950852581907</v>
          </cell>
          <cell r="F29">
            <v>0.787502556369026</v>
          </cell>
          <cell r="G29">
            <v>1.3144966843246533</v>
          </cell>
          <cell r="H29">
            <v>1.3064378634341411</v>
          </cell>
        </row>
        <row r="30">
          <cell r="A30" t="str">
            <v>06:Q3</v>
          </cell>
          <cell r="B30">
            <v>2.8465683586974593</v>
          </cell>
          <cell r="C30">
            <v>1.9677358482781009</v>
          </cell>
          <cell r="D30">
            <v>1.4251407965620833</v>
          </cell>
          <cell r="E30">
            <v>0.98128667603651254</v>
          </cell>
          <cell r="F30">
            <v>0.76007109096731529</v>
          </cell>
          <cell r="G30">
            <v>1.0536423866954607</v>
          </cell>
          <cell r="H30">
            <v>1.4582633349536491</v>
          </cell>
        </row>
        <row r="31">
          <cell r="A31" t="str">
            <v>06:Q4</v>
          </cell>
          <cell r="B31">
            <v>3.1876943527954933</v>
          </cell>
          <cell r="C31">
            <v>2.0408728766100808</v>
          </cell>
          <cell r="D31">
            <v>1.7293548437278112</v>
          </cell>
          <cell r="E31">
            <v>1.2515848271103038</v>
          </cell>
          <cell r="F31">
            <v>0.93632153403570717</v>
          </cell>
          <cell r="G31">
            <v>1.2110240739382592</v>
          </cell>
          <cell r="H31">
            <v>1.6789761863393271</v>
          </cell>
        </row>
        <row r="32">
          <cell r="A32" t="str">
            <v>07:Q1</v>
          </cell>
          <cell r="B32">
            <v>3.8727323302740606</v>
          </cell>
          <cell r="C32">
            <v>2.2626530676610828</v>
          </cell>
          <cell r="D32">
            <v>1.9312612929724775</v>
          </cell>
          <cell r="E32">
            <v>1.5458626239669804</v>
          </cell>
          <cell r="F32">
            <v>1.1206493526198502</v>
          </cell>
          <cell r="G32">
            <v>1.4496096241086442</v>
          </cell>
          <cell r="H32">
            <v>1.9371424888450526</v>
          </cell>
        </row>
        <row r="33">
          <cell r="A33" t="str">
            <v>07:Q2</v>
          </cell>
          <cell r="B33">
            <v>5.0162324480137324</v>
          </cell>
          <cell r="C33">
            <v>2.8170895670998286</v>
          </cell>
          <cell r="D33">
            <v>2.367891892199677</v>
          </cell>
          <cell r="E33">
            <v>1.8641855648080976</v>
          </cell>
          <cell r="F33">
            <v>1.4791339363253984</v>
          </cell>
          <cell r="G33">
            <v>2.0220468092617794</v>
          </cell>
          <cell r="H33">
            <v>2.4036992437997498</v>
          </cell>
        </row>
        <row r="34">
          <cell r="A34" t="str">
            <v>07:Q3</v>
          </cell>
          <cell r="B34">
            <v>5.2943685165482011</v>
          </cell>
          <cell r="C34">
            <v>3.4849285368519909</v>
          </cell>
          <cell r="D34">
            <v>2.7058983547483906</v>
          </cell>
          <cell r="E34">
            <v>2.3799832252477691</v>
          </cell>
          <cell r="F34">
            <v>2.0459114383970856</v>
          </cell>
          <cell r="G34">
            <v>2.6539105862268806</v>
          </cell>
          <cell r="H34">
            <v>2.8929671638998649</v>
          </cell>
        </row>
        <row r="35">
          <cell r="A35" t="str">
            <v>07:Q4</v>
          </cell>
          <cell r="B35">
            <v>6.6975156668394344</v>
          </cell>
          <cell r="C35">
            <v>4.7312843860979727</v>
          </cell>
          <cell r="D35">
            <v>3.5395308875655811</v>
          </cell>
          <cell r="E35">
            <v>2.7284646378975932</v>
          </cell>
          <cell r="F35">
            <v>2.5484021911765473</v>
          </cell>
          <cell r="G35">
            <v>2.8706421853452233</v>
          </cell>
          <cell r="H35">
            <v>3.681704653030264</v>
          </cell>
        </row>
        <row r="36">
          <cell r="A36" t="str">
            <v>08:Q1</v>
          </cell>
          <cell r="B36">
            <v>7.3383663952556271</v>
          </cell>
          <cell r="C36">
            <v>6.5299770102246688</v>
          </cell>
          <cell r="D36">
            <v>4.5383285127915158</v>
          </cell>
          <cell r="E36">
            <v>3.3110796680619963</v>
          </cell>
          <cell r="F36">
            <v>3.3451828364156082</v>
          </cell>
          <cell r="G36">
            <v>3.4222426639040826</v>
          </cell>
          <cell r="H36">
            <v>4.7125876509410327</v>
          </cell>
        </row>
        <row r="37">
          <cell r="A37" t="str">
            <v>08:Q2</v>
          </cell>
          <cell r="B37">
            <v>7.9718959667705827</v>
          </cell>
          <cell r="C37">
            <v>7.5161447586924748</v>
          </cell>
          <cell r="D37">
            <v>5.1330139839268023</v>
          </cell>
          <cell r="E37">
            <v>3.9701185079551631</v>
          </cell>
          <cell r="F37">
            <v>3.4944869918300014</v>
          </cell>
          <cell r="G37">
            <v>3.1979544899806527</v>
          </cell>
          <cell r="H37">
            <v>5.3220696182516534</v>
          </cell>
        </row>
        <row r="38">
          <cell r="A38" t="str">
            <v>08:Q3</v>
          </cell>
          <cell r="B38">
            <v>9.4670066538326321</v>
          </cell>
          <cell r="C38">
            <v>8.0400194277127763</v>
          </cell>
          <cell r="D38">
            <v>6.0727274902835786</v>
          </cell>
          <cell r="E38">
            <v>4.7889412489064833</v>
          </cell>
          <cell r="F38">
            <v>3.786423793851891</v>
          </cell>
          <cell r="G38">
            <v>3.2555981825105857</v>
          </cell>
          <cell r="H38">
            <v>6.0434540327384347</v>
          </cell>
        </row>
        <row r="39">
          <cell r="A39" t="str">
            <v>08:Q4</v>
          </cell>
          <cell r="B39">
            <v>10.173334006104145</v>
          </cell>
          <cell r="C39">
            <v>8.836958707832931</v>
          </cell>
          <cell r="D39">
            <v>6.6254337568321002</v>
          </cell>
          <cell r="E39">
            <v>5.3774012782678096</v>
          </cell>
          <cell r="F39">
            <v>4.170385251650587</v>
          </cell>
          <cell r="G39">
            <v>4.5522951700248528</v>
          </cell>
          <cell r="H39">
            <v>6.6540302499115782</v>
          </cell>
        </row>
        <row r="40">
          <cell r="A40" t="str">
            <v>09:Q1</v>
          </cell>
          <cell r="B40">
            <v>11.04469780096041</v>
          </cell>
          <cell r="C40">
            <v>9.0350568423298618</v>
          </cell>
          <cell r="D40">
            <v>7.6022166411848016</v>
          </cell>
          <cell r="E40">
            <v>6.5800436893526184</v>
          </cell>
          <cell r="F40">
            <v>4.5349518326896296</v>
          </cell>
          <cell r="G40">
            <v>4.9793699792461013</v>
          </cell>
          <cell r="H40">
            <v>7.3873307778825943</v>
          </cell>
        </row>
        <row r="41">
          <cell r="A41" t="str">
            <v>09:Q2</v>
          </cell>
          <cell r="B41">
            <v>11.636246479766895</v>
          </cell>
          <cell r="C41">
            <v>9.8020435555175389</v>
          </cell>
          <cell r="D41">
            <v>8.8321915678493923</v>
          </cell>
          <cell r="E41">
            <v>7.2017872446938194</v>
          </cell>
          <cell r="F41">
            <v>5.3422314439148462</v>
          </cell>
          <cell r="G41">
            <v>6.3790865259663239</v>
          </cell>
          <cell r="H41">
            <v>8.2617721655063363</v>
          </cell>
        </row>
        <row r="42">
          <cell r="A42" t="str">
            <v>09:Q3</v>
          </cell>
          <cell r="B42">
            <v>10.882753944159061</v>
          </cell>
          <cell r="C42">
            <v>10.063200580310927</v>
          </cell>
          <cell r="D42">
            <v>9.1334354273565896</v>
          </cell>
          <cell r="E42">
            <v>7.1125966022193925</v>
          </cell>
          <cell r="F42">
            <v>5.4628651202865139</v>
          </cell>
          <cell r="G42">
            <v>6.4279343323188218</v>
          </cell>
          <cell r="H42">
            <v>8.351362993673181</v>
          </cell>
        </row>
        <row r="43">
          <cell r="A43" t="str">
            <v>09:Q4</v>
          </cell>
          <cell r="B43">
            <v>10.021648089429345</v>
          </cell>
          <cell r="C43">
            <v>10.128976589021113</v>
          </cell>
          <cell r="D43">
            <v>9.0371292855991001</v>
          </cell>
          <cell r="E43">
            <v>7.3424880666365144</v>
          </cell>
          <cell r="F43">
            <v>5.4501056542808923</v>
          </cell>
          <cell r="G43">
            <v>5.9037597953834675</v>
          </cell>
          <cell r="H43">
            <v>8.3029398100282243</v>
          </cell>
        </row>
        <row r="44">
          <cell r="A44" t="str">
            <v>10:Q1</v>
          </cell>
          <cell r="B44">
            <v>8.8497293254896796</v>
          </cell>
          <cell r="C44">
            <v>9.4007664603992822</v>
          </cell>
          <cell r="D44">
            <v>8.2648974890365849</v>
          </cell>
          <cell r="E44">
            <v>7.1529128427477913</v>
          </cell>
          <cell r="F44">
            <v>4.9054486257804442</v>
          </cell>
          <cell r="G44">
            <v>5.5906730907233975</v>
          </cell>
          <cell r="H44">
            <v>7.6978940784699574</v>
          </cell>
        </row>
        <row r="45">
          <cell r="A45" t="str">
            <v>10:Q2</v>
          </cell>
          <cell r="B45">
            <v>7.0363803261953475</v>
          </cell>
          <cell r="C45">
            <v>8.3760454838713869</v>
          </cell>
          <cell r="D45">
            <v>7.5703742987823768</v>
          </cell>
          <cell r="E45">
            <v>6.681865948105588</v>
          </cell>
          <cell r="F45">
            <v>4.4181597906517531</v>
          </cell>
          <cell r="G45">
            <v>4.7426156422773573</v>
          </cell>
          <cell r="H45">
            <v>6.9551524524861925</v>
          </cell>
        </row>
        <row r="46">
          <cell r="A46" t="str">
            <v>10:Q3</v>
          </cell>
          <cell r="B46">
            <v>6.1629276325179356</v>
          </cell>
          <cell r="C46">
            <v>7.7985928126255351</v>
          </cell>
          <cell r="D46">
            <v>6.8612048788970341</v>
          </cell>
          <cell r="E46">
            <v>6.5701533687376701</v>
          </cell>
          <cell r="F46">
            <v>4.0600020839296018</v>
          </cell>
          <cell r="G46">
            <v>4.867878158276854</v>
          </cell>
          <cell r="H46">
            <v>6.4949344193834389</v>
          </cell>
        </row>
        <row r="47">
          <cell r="A47" t="str">
            <v>10:Q4</v>
          </cell>
          <cell r="B47">
            <v>4.9848332223353431</v>
          </cell>
          <cell r="C47">
            <v>6.605684492461525</v>
          </cell>
          <cell r="D47">
            <v>6.3271130043299024</v>
          </cell>
          <cell r="E47">
            <v>6.1379773384331289</v>
          </cell>
          <cell r="F47">
            <v>3.7622264928686691</v>
          </cell>
          <cell r="G47">
            <v>4.3644520734947134</v>
          </cell>
          <cell r="H47">
            <v>5.8374194062246536</v>
          </cell>
        </row>
        <row r="48">
          <cell r="A48" t="str">
            <v>11:Q1</v>
          </cell>
          <cell r="B48">
            <v>4.3215921475997421</v>
          </cell>
          <cell r="C48">
            <v>6.0048779042986666</v>
          </cell>
          <cell r="D48">
            <v>5.8880953682360477</v>
          </cell>
          <cell r="E48">
            <v>5.0511360087148685</v>
          </cell>
          <cell r="F48">
            <v>3.5645613200272832</v>
          </cell>
          <cell r="G48">
            <v>5.6832713145621661</v>
          </cell>
          <cell r="H48">
            <v>5.2938438210613716</v>
          </cell>
        </row>
        <row r="49">
          <cell r="A49" t="str">
            <v>11:Q2</v>
          </cell>
          <cell r="B49">
            <v>4.0286886472273613</v>
          </cell>
          <cell r="C49">
            <v>5.4538785099921867</v>
          </cell>
          <cell r="D49">
            <v>5.2715766012705032</v>
          </cell>
          <cell r="E49">
            <v>4.7975649920254106</v>
          </cell>
          <cell r="F49">
            <v>3.209794329853509</v>
          </cell>
          <cell r="G49">
            <v>4.9706403575743563</v>
          </cell>
          <cell r="H49">
            <v>4.8267389749293139</v>
          </cell>
        </row>
        <row r="50">
          <cell r="A50" t="str">
            <v>11:Q3</v>
          </cell>
          <cell r="B50">
            <v>3.5578962024815537</v>
          </cell>
          <cell r="C50">
            <v>5.1817234684372782</v>
          </cell>
          <cell r="D50">
            <v>5.2646019479284094</v>
          </cell>
          <cell r="E50">
            <v>4.2906979655402306</v>
          </cell>
          <cell r="F50">
            <v>3.5497305683123188</v>
          </cell>
          <cell r="G50">
            <v>4.540314732853215</v>
          </cell>
          <cell r="H50">
            <v>4.6428950496176267</v>
          </cell>
        </row>
        <row r="51">
          <cell r="A51" t="str">
            <v>11:Q4</v>
          </cell>
          <cell r="B51">
            <v>3.5874042140708204</v>
          </cell>
          <cell r="C51">
            <v>5.1183727119372548</v>
          </cell>
          <cell r="D51">
            <v>5.1508999236297335</v>
          </cell>
          <cell r="E51">
            <v>4.2498917404435712</v>
          </cell>
          <cell r="F51">
            <v>3.4451639541772723</v>
          </cell>
          <cell r="G51">
            <v>4.8694307267684547</v>
          </cell>
          <cell r="H51">
            <v>4.5840323914645085</v>
          </cell>
        </row>
        <row r="52">
          <cell r="A52" t="str">
            <v>12:Q1</v>
          </cell>
          <cell r="B52">
            <v>3.4433124450937789</v>
          </cell>
          <cell r="C52">
            <v>4.8287344085284589</v>
          </cell>
          <cell r="D52">
            <v>4.9917558823279871</v>
          </cell>
          <cell r="E52">
            <v>4.2180493671724388</v>
          </cell>
          <cell r="F52">
            <v>3.611742760395098</v>
          </cell>
          <cell r="G52">
            <v>3.2119086928572891</v>
          </cell>
          <cell r="H52">
            <v>4.4086771125264237</v>
          </cell>
        </row>
        <row r="53">
          <cell r="A53" t="str">
            <v>12:Q2</v>
          </cell>
          <cell r="B53">
            <v>3.3031009771939117</v>
          </cell>
          <cell r="C53">
            <v>4.6673534686492255</v>
          </cell>
          <cell r="D53">
            <v>4.5858882603393436</v>
          </cell>
          <cell r="E53">
            <v>3.9593897539632961</v>
          </cell>
          <cell r="F53">
            <v>3.4895410054022467</v>
          </cell>
          <cell r="G53">
            <v>3.6525155302411147</v>
          </cell>
          <cell r="H53">
            <v>4.1828412874983973</v>
          </cell>
        </row>
        <row r="54">
          <cell r="A54" t="str">
            <v>12:Q3</v>
          </cell>
          <cell r="B54">
            <v>3.3983537983143859</v>
          </cell>
          <cell r="C54">
            <v>4.3698313616790605</v>
          </cell>
          <cell r="D54">
            <v>4.1122944798979262</v>
          </cell>
          <cell r="E54">
            <v>3.8494671359705022</v>
          </cell>
          <cell r="F54">
            <v>3.0533544641950581</v>
          </cell>
          <cell r="G54">
            <v>3.5013528453969678</v>
          </cell>
          <cell r="H54">
            <v>3.8770671061133561</v>
          </cell>
        </row>
        <row r="55">
          <cell r="A55" t="str">
            <v>12:Q4</v>
          </cell>
          <cell r="B55">
            <v>3.3558508420177851</v>
          </cell>
          <cell r="C55">
            <v>3.9253266045720379</v>
          </cell>
          <cell r="D55">
            <v>3.7035626648349402</v>
          </cell>
          <cell r="E55">
            <v>3.2991871071854209</v>
          </cell>
          <cell r="F55">
            <v>2.9887874874156917</v>
          </cell>
          <cell r="G55">
            <v>3.1088371753341089</v>
          </cell>
          <cell r="H55">
            <v>3.4845484282707115</v>
          </cell>
        </row>
        <row r="56">
          <cell r="A56" t="str">
            <v>13:Q1</v>
          </cell>
          <cell r="B56">
            <v>3.0616778034299013</v>
          </cell>
          <cell r="C56">
            <v>3.5562469424041407</v>
          </cell>
          <cell r="D56">
            <v>3.3978128438861956</v>
          </cell>
          <cell r="E56">
            <v>2.9174340091306434</v>
          </cell>
          <cell r="F56">
            <v>2.8091806208351189</v>
          </cell>
          <cell r="G56">
            <v>3.0135340988796462</v>
          </cell>
          <cell r="H56">
            <v>3.1752706313662178</v>
          </cell>
        </row>
        <row r="57">
          <cell r="A57" t="str">
            <v>13:Q2</v>
          </cell>
          <cell r="B57">
            <v>2.8627648540803512</v>
          </cell>
          <cell r="C57">
            <v>3.2547724712187942</v>
          </cell>
          <cell r="D57">
            <v>3.2394654515966845</v>
          </cell>
          <cell r="E57">
            <v>2.7542951809011651</v>
          </cell>
          <cell r="F57">
            <v>2.7413605054902508</v>
          </cell>
          <cell r="G57">
            <v>2.6987196286808133</v>
          </cell>
          <cell r="H57">
            <v>2.9917075182434871</v>
          </cell>
        </row>
        <row r="58">
          <cell r="A58" t="str">
            <v>13:Q3</v>
          </cell>
          <cell r="B58">
            <v>2.5060816786108298</v>
          </cell>
          <cell r="C58">
            <v>2.9613418571054191</v>
          </cell>
          <cell r="D58">
            <v>2.9684510469038061</v>
          </cell>
          <cell r="E58">
            <v>2.5567442966836138</v>
          </cell>
          <cell r="F58">
            <v>2.4492994413583715</v>
          </cell>
          <cell r="G58">
            <v>2.6345552981979452</v>
          </cell>
          <cell r="H58">
            <v>2.7403467083509652</v>
          </cell>
        </row>
        <row r="59">
          <cell r="A59" t="str">
            <v>13:Q4</v>
          </cell>
          <cell r="B59">
            <v>2.0408591201507496</v>
          </cell>
          <cell r="C59">
            <v>2.6899683268095096</v>
          </cell>
          <cell r="D59">
            <v>2.6972769215410941</v>
          </cell>
          <cell r="E59">
            <v>2.580239722778944</v>
          </cell>
          <cell r="F59">
            <v>2.1308285658286725</v>
          </cell>
          <cell r="G59">
            <v>2.4691185029564959</v>
          </cell>
          <cell r="H59">
            <v>2.538011933377577</v>
          </cell>
        </row>
        <row r="60">
          <cell r="A60" t="str">
            <v>14:Q1</v>
          </cell>
          <cell r="B60">
            <v>1.9077575033302929</v>
          </cell>
          <cell r="C60">
            <v>2.5032792483911477</v>
          </cell>
          <cell r="D60">
            <v>2.3751680234741039</v>
          </cell>
          <cell r="E60">
            <v>2.4943805543777851</v>
          </cell>
          <cell r="F60">
            <v>1.91086314313344</v>
          </cell>
          <cell r="G60">
            <v>2.1340264687707653</v>
          </cell>
          <cell r="H60">
            <v>2.3276364196103767</v>
          </cell>
        </row>
        <row r="61">
          <cell r="A61" t="str">
            <v>14:Q2</v>
          </cell>
          <cell r="B61">
            <v>1.7374038986016884</v>
          </cell>
          <cell r="C61">
            <v>2.2360343250075672</v>
          </cell>
          <cell r="D61">
            <v>2.2930375155909712</v>
          </cell>
          <cell r="E61">
            <v>2.145779300121943</v>
          </cell>
          <cell r="F61">
            <v>1.7527209812909159</v>
          </cell>
          <cell r="G61">
            <v>1.8207991725750858</v>
          </cell>
          <cell r="H61">
            <v>2.1082279246190012</v>
          </cell>
        </row>
        <row r="62">
          <cell r="A62" t="str">
            <v>14:Q3</v>
          </cell>
          <cell r="B62">
            <v>1.7614918394599939</v>
          </cell>
          <cell r="C62">
            <v>1.9936294877000664</v>
          </cell>
          <cell r="D62">
            <v>2.1173160830434514</v>
          </cell>
          <cell r="E62">
            <v>2.0067626010194064</v>
          </cell>
          <cell r="F62">
            <v>1.7058999801942116</v>
          </cell>
          <cell r="G62">
            <v>1.3657106278635172</v>
          </cell>
          <cell r="H62">
            <v>1.9381168971785288</v>
          </cell>
        </row>
        <row r="63">
          <cell r="A63" t="str">
            <v>14:Q4</v>
          </cell>
          <cell r="B63">
            <v>1.5906878196928425</v>
          </cell>
          <cell r="C63">
            <v>1.8379882274885331</v>
          </cell>
          <cell r="D63">
            <v>2.0120584391957497</v>
          </cell>
          <cell r="E63">
            <v>1.8695207527070115</v>
          </cell>
          <cell r="F63">
            <v>1.5700698500348924</v>
          </cell>
          <cell r="G63">
            <v>1.334867964853043</v>
          </cell>
          <cell r="H63">
            <v>1.8113383976027273</v>
          </cell>
        </row>
        <row r="64">
          <cell r="A64" t="str">
            <v>15:Q1</v>
          </cell>
          <cell r="B64">
            <v>1.3439957094370609</v>
          </cell>
          <cell r="C64">
            <v>1.7559016348448659</v>
          </cell>
          <cell r="D64">
            <v>1.9449224170526098</v>
          </cell>
          <cell r="E64">
            <v>1.9103921991761634</v>
          </cell>
          <cell r="F64">
            <v>1.0965100628072977</v>
          </cell>
          <cell r="G64">
            <v>1.3622758492547782</v>
          </cell>
          <cell r="H64">
            <v>1.7038088401880929</v>
          </cell>
        </row>
        <row r="65">
          <cell r="A65" t="str">
            <v>15:Q2</v>
          </cell>
          <cell r="B65">
            <v>1.2019700761537948</v>
          </cell>
          <cell r="C65">
            <v>1.6540125793726017</v>
          </cell>
          <cell r="D65">
            <v>1.8861878765887847</v>
          </cell>
          <cell r="E65">
            <v>1.8796675255420452</v>
          </cell>
          <cell r="F65">
            <v>1.0105899215650878</v>
          </cell>
          <cell r="G65">
            <v>1.47705173485312</v>
          </cell>
          <cell r="H65">
            <v>1.6481835158048872</v>
          </cell>
        </row>
        <row r="66">
          <cell r="A66" t="str">
            <v>15:Q3</v>
          </cell>
          <cell r="B66">
            <v>1.1297926484214353</v>
          </cell>
          <cell r="C66">
            <v>1.6919404690704922</v>
          </cell>
          <cell r="D66">
            <v>1.7442301102429503</v>
          </cell>
          <cell r="E66">
            <v>1.8871655801093095</v>
          </cell>
          <cell r="F66">
            <v>0.99081192812386976</v>
          </cell>
          <cell r="G66">
            <v>1.7450178849954856</v>
          </cell>
          <cell r="H66">
            <v>1.62743789222093</v>
          </cell>
        </row>
        <row r="67">
          <cell r="A67" t="str">
            <v>15:Q4</v>
          </cell>
          <cell r="B67">
            <v>1.0382401226933184</v>
          </cell>
          <cell r="C67">
            <v>1.5873303282084286</v>
          </cell>
          <cell r="D67">
            <v>1.841646371030782</v>
          </cell>
          <cell r="E67">
            <v>1.7122601459660582</v>
          </cell>
          <cell r="F67">
            <v>0.88563856843147604</v>
          </cell>
          <cell r="G67">
            <v>1.4618657978727414</v>
          </cell>
          <cell r="H67">
            <v>1.5488315302439322</v>
          </cell>
        </row>
        <row r="68">
          <cell r="A68" t="str">
            <v>16:Q1</v>
          </cell>
          <cell r="B68">
            <v>1.0045545970147354</v>
          </cell>
          <cell r="C68">
            <v>1.4770348979643972</v>
          </cell>
          <cell r="D68">
            <v>1.7891799420349415</v>
          </cell>
          <cell r="E68">
            <v>1.5534997949926554</v>
          </cell>
          <cell r="F68">
            <v>1.0932075452404906</v>
          </cell>
          <cell r="G68">
            <v>1.2939407139816681</v>
          </cell>
          <cell r="H68">
            <v>1.4921092250186734</v>
          </cell>
        </row>
        <row r="69">
          <cell r="A69" t="str">
            <v>16:Q2</v>
          </cell>
          <cell r="B69">
            <v>1.0279053831395477</v>
          </cell>
          <cell r="C69">
            <v>1.4491498557476157</v>
          </cell>
          <cell r="D69">
            <v>1.511800100665293</v>
          </cell>
          <cell r="E69">
            <v>1.6198873376871772</v>
          </cell>
          <cell r="F69">
            <v>1.0593734735131179</v>
          </cell>
          <cell r="G69">
            <v>1.0584328994025465</v>
          </cell>
          <cell r="H69">
            <v>1.4054151112699431</v>
          </cell>
        </row>
        <row r="70">
          <cell r="A70" t="str">
            <v>16:Q3</v>
          </cell>
          <cell r="B70">
            <v>0.79021054781330591</v>
          </cell>
          <cell r="C70">
            <v>1.2090777976754086</v>
          </cell>
          <cell r="D70">
            <v>1.4821960907481908</v>
          </cell>
          <cell r="E70">
            <v>1.4696204466869134</v>
          </cell>
          <cell r="F70">
            <v>1.0421752769361301</v>
          </cell>
          <cell r="G70">
            <v>0.84206800858262387</v>
          </cell>
          <cell r="H70">
            <v>1.2873338318026035</v>
          </cell>
        </row>
        <row r="71">
          <cell r="A71" t="str">
            <v>16:Q4</v>
          </cell>
          <cell r="B71">
            <v>0.77685974736784924</v>
          </cell>
          <cell r="C71">
            <v>1.1023236566273003</v>
          </cell>
          <cell r="D71">
            <v>1.3292772185425266</v>
          </cell>
          <cell r="E71">
            <v>1.5988918985055347</v>
          </cell>
          <cell r="F71">
            <v>1.2035940867619865</v>
          </cell>
          <cell r="G71">
            <v>0.89527162246334591</v>
          </cell>
          <cell r="H71">
            <v>1.2867829477050103</v>
          </cell>
        </row>
        <row r="72">
          <cell r="A72" t="str">
            <v>17:Q1</v>
          </cell>
          <cell r="B72">
            <v>0.86605707823671563</v>
          </cell>
          <cell r="C72">
            <v>1.1341954904849123</v>
          </cell>
          <cell r="D72">
            <v>1.2691484951505583</v>
          </cell>
          <cell r="E72">
            <v>1.5023097489477755</v>
          </cell>
          <cell r="F72">
            <v>1.1343751071861725</v>
          </cell>
          <cell r="G72">
            <v>0.8980030071793863</v>
          </cell>
          <cell r="H72">
            <v>1.2419473781511228</v>
          </cell>
        </row>
        <row r="73">
          <cell r="A73" t="str">
            <v>17:Q2</v>
          </cell>
          <cell r="B73">
            <v>0.80835318760338792</v>
          </cell>
          <cell r="C73">
            <v>1.1268606315972869</v>
          </cell>
          <cell r="D73">
            <v>1.3057107633796698</v>
          </cell>
          <cell r="E73">
            <v>1.443802652857531</v>
          </cell>
          <cell r="F73">
            <v>1.0572196874004596</v>
          </cell>
          <cell r="G73">
            <v>1.085821575346215</v>
          </cell>
          <cell r="H73">
            <v>1.2344270931376931</v>
          </cell>
        </row>
        <row r="74">
          <cell r="A74" t="str">
            <v>17:Q3</v>
          </cell>
          <cell r="B74">
            <v>0.89510185919955321</v>
          </cell>
          <cell r="C74">
            <v>1.1520155181174951</v>
          </cell>
          <cell r="D74">
            <v>1.3548168499262714</v>
          </cell>
          <cell r="E74">
            <v>1.4325566640889791</v>
          </cell>
          <cell r="F74">
            <v>0.99976554453381983</v>
          </cell>
          <cell r="G74">
            <v>0.9955425549798933</v>
          </cell>
          <cell r="H74">
            <v>1.2351251041507003</v>
          </cell>
        </row>
        <row r="75">
          <cell r="A75" t="str">
            <v>17:Q4</v>
          </cell>
          <cell r="B75">
            <v>0.83716981324779527</v>
          </cell>
          <cell r="C75">
            <v>1.1047302353853217</v>
          </cell>
          <cell r="D75">
            <v>1.2905285026374822</v>
          </cell>
          <cell r="E75">
            <v>1.2455955695019199</v>
          </cell>
          <cell r="F75">
            <v>0.91452085195041743</v>
          </cell>
          <cell r="G75">
            <v>0.90170934414320891</v>
          </cell>
          <cell r="H75">
            <v>1.135437957276987</v>
          </cell>
        </row>
        <row r="76">
          <cell r="A76" t="str">
            <v>18:Q1</v>
          </cell>
          <cell r="B76">
            <v>0.7651453754202806</v>
          </cell>
          <cell r="C76">
            <v>1.1062641387860526</v>
          </cell>
          <cell r="D76">
            <v>1.2365783710329832</v>
          </cell>
          <cell r="E76">
            <v>1.2825157671502025</v>
          </cell>
          <cell r="F76">
            <v>0.87747563839483367</v>
          </cell>
          <cell r="G76">
            <v>1.0334373935304644</v>
          </cell>
          <cell r="H76">
            <v>1.1304723774487841</v>
          </cell>
        </row>
        <row r="77">
          <cell r="A77" t="str">
            <v>18:Q2</v>
          </cell>
          <cell r="B77">
            <v>0.81503247105140564</v>
          </cell>
          <cell r="C77">
            <v>1.1400466055890808</v>
          </cell>
          <cell r="D77">
            <v>1.2532896591278915</v>
          </cell>
          <cell r="E77">
            <v>1.3429435279778035</v>
          </cell>
          <cell r="F77">
            <v>0.96588370082282649</v>
          </cell>
          <cell r="G77">
            <v>1.0495988544051988</v>
          </cell>
          <cell r="H77">
            <v>1.1746452705913588</v>
          </cell>
        </row>
        <row r="78">
          <cell r="A78" t="str">
            <v>18:Q3</v>
          </cell>
          <cell r="B78">
            <v>0.76903922285643611</v>
          </cell>
          <cell r="C78">
            <v>1.0378597678890811</v>
          </cell>
          <cell r="D78">
            <v>1.2290166374914435</v>
          </cell>
          <cell r="E78">
            <v>1.3873284056352444</v>
          </cell>
          <cell r="F78">
            <v>0.93207323123899699</v>
          </cell>
          <cell r="G78">
            <v>1.2919786111384925</v>
          </cell>
          <cell r="H78">
            <v>1.171325073556714</v>
          </cell>
        </row>
        <row r="79">
          <cell r="A79" t="str">
            <v>18:Q4</v>
          </cell>
          <cell r="B79">
            <v>0.87237790192661102</v>
          </cell>
          <cell r="C79">
            <v>1.0246765989736606</v>
          </cell>
          <cell r="D79">
            <v>1.1924030695976129</v>
          </cell>
          <cell r="E79">
            <v>1.50077067730109</v>
          </cell>
          <cell r="F79">
            <v>0.8440130611101796</v>
          </cell>
          <cell r="G79">
            <v>1.3320293898578976</v>
          </cell>
          <cell r="H79">
            <v>1.1791564018448542</v>
          </cell>
        </row>
        <row r="80">
          <cell r="A80" t="str">
            <v>19:Q1</v>
          </cell>
          <cell r="B80">
            <v>0.82572944994818898</v>
          </cell>
          <cell r="C80">
            <v>0.93184755832365529</v>
          </cell>
          <cell r="D80">
            <v>1.1375105093548625</v>
          </cell>
          <cell r="E80">
            <v>1.4012817463855267</v>
          </cell>
          <cell r="F80">
            <v>0.82548158417082507</v>
          </cell>
          <cell r="G80">
            <v>1.0505364851622061</v>
          </cell>
          <cell r="H80">
            <v>1.0940159295422454</v>
          </cell>
        </row>
        <row r="81">
          <cell r="A81" t="str">
            <v>19:Q2</v>
          </cell>
          <cell r="B81">
            <v>0.82028310916721259</v>
          </cell>
          <cell r="C81">
            <v>0.91920682139096521</v>
          </cell>
          <cell r="D81">
            <v>1.1514538197763384</v>
          </cell>
          <cell r="E81">
            <v>1.2718848170256607</v>
          </cell>
          <cell r="F81">
            <v>0.72428789072844002</v>
          </cell>
          <cell r="G81">
            <v>0.92260088308718602</v>
          </cell>
          <cell r="H81">
            <v>1.0349363522800341</v>
          </cell>
        </row>
        <row r="82">
          <cell r="A82" t="str">
            <v>19:Q3</v>
          </cell>
          <cell r="B82">
            <v>0.87255711966974181</v>
          </cell>
          <cell r="C82">
            <v>0.89702213177702028</v>
          </cell>
          <cell r="D82">
            <v>1.0919906386316462</v>
          </cell>
          <cell r="E82">
            <v>1.2393413626802261</v>
          </cell>
          <cell r="F82">
            <v>0.6982450069111803</v>
          </cell>
          <cell r="G82">
            <v>0.73975777926686903</v>
          </cell>
          <cell r="H82">
            <v>0.98893042595826075</v>
          </cell>
        </row>
        <row r="83">
          <cell r="A83" t="str">
            <v>19:Q4</v>
          </cell>
          <cell r="B83">
            <v>0.90260934734431952</v>
          </cell>
          <cell r="C83">
            <v>1.0147380442863032</v>
          </cell>
          <cell r="D83">
            <v>1.2087674141796372</v>
          </cell>
          <cell r="E83">
            <v>1.1820771362549978</v>
          </cell>
          <cell r="F83">
            <v>0.84452591416318934</v>
          </cell>
          <cell r="G83">
            <v>1.2531347496320475</v>
          </cell>
          <cell r="H83">
            <v>1.0969971106915992</v>
          </cell>
        </row>
        <row r="84">
          <cell r="A84" t="str">
            <v>20:Q1</v>
          </cell>
          <cell r="B84">
            <v>0.91119067560075007</v>
          </cell>
          <cell r="C84">
            <v>1.0339422136294834</v>
          </cell>
          <cell r="D84">
            <v>1.3470413001639361</v>
          </cell>
          <cell r="E84">
            <v>1.2090030686832125</v>
          </cell>
          <cell r="F84">
            <v>0.93394462772455333</v>
          </cell>
          <cell r="G84">
            <v>1.4110531285408587</v>
          </cell>
          <cell r="H84">
            <v>1.1712941719981447</v>
          </cell>
        </row>
        <row r="85">
          <cell r="A85" t="str">
            <v>20:Q2</v>
          </cell>
          <cell r="B85">
            <v>0.79263228913008399</v>
          </cell>
          <cell r="C85">
            <v>0.92716288678332415</v>
          </cell>
          <cell r="D85">
            <v>1.1893724060275039</v>
          </cell>
          <cell r="E85">
            <v>1.1739053106728647</v>
          </cell>
          <cell r="F85">
            <v>0.92510644087368288</v>
          </cell>
          <cell r="G85">
            <v>1.2722454900818627</v>
          </cell>
          <cell r="H85">
            <v>1.0813051212239178</v>
          </cell>
        </row>
        <row r="86">
          <cell r="A86" t="str">
            <v>20:Q3</v>
          </cell>
          <cell r="B86">
            <v>0.62929760738122731</v>
          </cell>
          <cell r="C86">
            <v>0.85064720679548722</v>
          </cell>
          <cell r="D86">
            <v>1.0601494030356273</v>
          </cell>
          <cell r="E86">
            <v>1.0005693017690074</v>
          </cell>
          <cell r="F86">
            <v>0.84490822083441819</v>
          </cell>
          <cell r="G86">
            <v>1.1797682145086992</v>
          </cell>
          <cell r="H86">
            <v>0.96119662491986713</v>
          </cell>
        </row>
        <row r="87">
          <cell r="A87" t="str">
            <v>20:Q4</v>
          </cell>
          <cell r="B87">
            <v>0.43595891874487352</v>
          </cell>
          <cell r="C87">
            <v>0.53560626543039325</v>
          </cell>
          <cell r="D87">
            <v>0.73840585746418919</v>
          </cell>
          <cell r="E87">
            <v>0.73912255411178274</v>
          </cell>
          <cell r="F87">
            <v>0.60873797419083475</v>
          </cell>
          <cell r="G87">
            <v>0.55288760539292336</v>
          </cell>
          <cell r="H87">
            <v>0.648756514148215</v>
          </cell>
        </row>
        <row r="88">
          <cell r="A88" t="str">
            <v>21:Q1</v>
          </cell>
          <cell r="B88">
            <v>0.35652694357193188</v>
          </cell>
          <cell r="C88">
            <v>0.35009988488055127</v>
          </cell>
          <cell r="D88">
            <v>0.46350104877727955</v>
          </cell>
          <cell r="E88">
            <v>0.49761311472620517</v>
          </cell>
          <cell r="F88">
            <v>0.34932872499020895</v>
          </cell>
          <cell r="G88">
            <v>0.33369566577296828</v>
          </cell>
          <cell r="H88">
            <v>0.41508898522469045</v>
          </cell>
        </row>
        <row r="89">
          <cell r="A89" t="str">
            <v>21:Q2</v>
          </cell>
          <cell r="B89">
            <v>0.24892839183316701</v>
          </cell>
          <cell r="C89">
            <v>0.28571996208685202</v>
          </cell>
          <cell r="D89">
            <v>0.39915872210915998</v>
          </cell>
          <cell r="E89">
            <v>0.34945836641549599</v>
          </cell>
          <cell r="F89">
            <v>0.31611567099101701</v>
          </cell>
          <cell r="G89">
            <v>0.27772086840972299</v>
          </cell>
          <cell r="H89">
            <v>0.33405221393353701</v>
          </cell>
        </row>
        <row r="90">
          <cell r="A90" t="str">
            <v>21:Q3</v>
          </cell>
          <cell r="B90">
            <v>0.27259729475539324</v>
          </cell>
          <cell r="C90">
            <v>0.20004586835625912</v>
          </cell>
          <cell r="D90">
            <v>0.33289204805907097</v>
          </cell>
          <cell r="E90">
            <v>0.29486453906649751</v>
          </cell>
          <cell r="F90">
            <v>0.27164446735200171</v>
          </cell>
          <cell r="G90">
            <v>0.22909135424010349</v>
          </cell>
          <cell r="H90">
            <v>0.27483994959168251</v>
          </cell>
        </row>
        <row r="91">
          <cell r="A91" t="str">
            <v>21:Q4</v>
          </cell>
          <cell r="B91">
            <v>0.22565281308172502</v>
          </cell>
          <cell r="C91">
            <v>0.22988001246016654</v>
          </cell>
          <cell r="D91">
            <v>0.37692790851770808</v>
          </cell>
          <cell r="E91">
            <v>0.26813884711467484</v>
          </cell>
          <cell r="F91">
            <v>0.31768823539980928</v>
          </cell>
          <cell r="G91">
            <v>0.25058445712463162</v>
          </cell>
          <cell r="H91">
            <v>0.29313061468037871</v>
          </cell>
        </row>
        <row r="92">
          <cell r="A92" t="str">
            <v>22:Q1</v>
          </cell>
          <cell r="B92">
            <v>0.26</v>
          </cell>
          <cell r="C92">
            <v>0.26</v>
          </cell>
          <cell r="D92">
            <v>0.42</v>
          </cell>
          <cell r="E92">
            <v>0.33</v>
          </cell>
          <cell r="F92">
            <v>0.38</v>
          </cell>
          <cell r="G92">
            <v>0.38</v>
          </cell>
          <cell r="H92">
            <v>0.35</v>
          </cell>
        </row>
        <row r="93">
          <cell r="A93" t="str">
            <v>22:Q2</v>
          </cell>
          <cell r="B93">
            <v>0.44257636131894168</v>
          </cell>
          <cell r="C93">
            <v>0.38878861633457185</v>
          </cell>
          <cell r="D93">
            <v>0.55834977612005821</v>
          </cell>
          <cell r="E93">
            <v>0.38867315652004725</v>
          </cell>
          <cell r="F93">
            <v>0.40640205457190026</v>
          </cell>
          <cell r="G93">
            <v>0.40727821643121148</v>
          </cell>
          <cell r="H93">
            <v>0.43829255926379218</v>
          </cell>
        </row>
        <row r="94">
          <cell r="A94" t="str">
            <v>22:Q3</v>
          </cell>
          <cell r="B94">
            <v>0.47600938523665021</v>
          </cell>
          <cell r="C94">
            <v>0.47540497771273277</v>
          </cell>
          <cell r="D94">
            <v>0.67767349943801147</v>
          </cell>
          <cell r="E94">
            <v>0.43068989522024226</v>
          </cell>
          <cell r="F94">
            <v>0.40875052789446376</v>
          </cell>
          <cell r="G94">
            <v>0.47067430553765083</v>
          </cell>
          <cell r="H94">
            <v>0.5055304203823181</v>
          </cell>
        </row>
        <row r="95">
          <cell r="A95" t="str">
            <v>22:Q4</v>
          </cell>
          <cell r="B95">
            <v>0.63419885683346966</v>
          </cell>
          <cell r="C95">
            <v>0.59466993270792434</v>
          </cell>
          <cell r="D95">
            <v>0.70889577723897268</v>
          </cell>
          <cell r="E95">
            <v>0.49156085314869735</v>
          </cell>
          <cell r="F95">
            <v>0.45176799491748293</v>
          </cell>
          <cell r="G95">
            <v>0.41874069541732084</v>
          </cell>
          <cell r="H95">
            <v>0.56359922787752381</v>
          </cell>
        </row>
        <row r="96">
          <cell r="A96" t="str">
            <v>23:Q1</v>
          </cell>
          <cell r="B96">
            <v>0.77439999999999998</v>
          </cell>
          <cell r="C96">
            <v>0.63439999999999996</v>
          </cell>
          <cell r="D96">
            <v>0.71109999999999995</v>
          </cell>
          <cell r="E96">
            <v>0.51080000000000003</v>
          </cell>
          <cell r="F96">
            <v>0.42059999999999997</v>
          </cell>
          <cell r="G96">
            <v>0.43469999999999998</v>
          </cell>
          <cell r="H96">
            <v>0.58079999999999998</v>
          </cell>
        </row>
        <row r="97">
          <cell r="A97" t="str">
            <v>23:Q2</v>
          </cell>
          <cell r="B97">
            <v>0.89807313400409561</v>
          </cell>
          <cell r="C97">
            <v>0.62963514252213559</v>
          </cell>
          <cell r="D97">
            <v>0.78525111386199586</v>
          </cell>
          <cell r="E97">
            <v>0.55184526647883514</v>
          </cell>
          <cell r="F97">
            <v>0.4492257674533483</v>
          </cell>
          <cell r="G97">
            <v>0.52349887174629217</v>
          </cell>
          <cell r="H97">
            <v>0.62741151693228847</v>
          </cell>
        </row>
        <row r="98">
          <cell r="A98" t="str">
            <v>23:Q3</v>
          </cell>
          <cell r="B98">
            <v>0.93101545558498433</v>
          </cell>
          <cell r="C98">
            <v>0.76568902997379062</v>
          </cell>
          <cell r="D98">
            <v>0.86897074271160524</v>
          </cell>
          <cell r="E98">
            <v>0.69194316091903663</v>
          </cell>
          <cell r="F98">
            <v>0.50552116757153331</v>
          </cell>
          <cell r="G98">
            <v>0.53909602561087955</v>
          </cell>
          <cell r="H98">
            <v>0.72286199737918488</v>
          </cell>
        </row>
        <row r="99">
          <cell r="A99" t="str">
            <v>23:Q4</v>
          </cell>
          <cell r="B99">
            <v>1.2330865661123334</v>
          </cell>
          <cell r="C99">
            <v>0.82700509889442231</v>
          </cell>
          <cell r="D99">
            <v>0.91598247841519209</v>
          </cell>
          <cell r="E99">
            <v>0.86986724412138894</v>
          </cell>
          <cell r="F99">
            <v>0.49487545018528417</v>
          </cell>
          <cell r="G99">
            <v>0.62419170248853362</v>
          </cell>
          <cell r="H99">
            <v>0.80864637908163473</v>
          </cell>
        </row>
        <row r="100">
          <cell r="A100" t="str">
            <v>24:Q1</v>
          </cell>
          <cell r="B100">
            <v>1.3174661671255203</v>
          </cell>
          <cell r="C100">
            <v>0.93373893789990148</v>
          </cell>
          <cell r="D100">
            <v>1.0912382189223444</v>
          </cell>
          <cell r="E100">
            <v>1.0313502936061865</v>
          </cell>
          <cell r="F100">
            <v>0.48111625436758665</v>
          </cell>
          <cell r="G100">
            <v>0.55967927386531247</v>
          </cell>
          <cell r="H100">
            <v>0.91211461581312647</v>
          </cell>
        </row>
        <row r="101">
          <cell r="A101" t="str">
            <v>24:Q2</v>
          </cell>
          <cell r="B101">
            <v>1.1313777181128148</v>
          </cell>
          <cell r="C101">
            <v>1.0711975285404822</v>
          </cell>
          <cell r="D101">
            <v>1.0542330306571068</v>
          </cell>
          <cell r="E101">
            <v>1.1583052960015625</v>
          </cell>
          <cell r="F101">
            <v>0.5002410594243788</v>
          </cell>
          <cell r="G101">
            <v>0.53136357777507726</v>
          </cell>
          <cell r="H101">
            <v>0.95307165949178929</v>
          </cell>
        </row>
        <row r="102">
          <cell r="A102" t="str">
            <v>24:Q3</v>
          </cell>
          <cell r="B102">
            <v>1.3115413162182095</v>
          </cell>
          <cell r="C102">
            <v>1.2281857326533303</v>
          </cell>
          <cell r="D102">
            <v>1.1896629653142565</v>
          </cell>
          <cell r="E102">
            <v>1.3170383009613207</v>
          </cell>
          <cell r="F102">
            <v>0.58228947109283236</v>
          </cell>
          <cell r="G102">
            <v>0.56176969072770266</v>
          </cell>
          <cell r="H102">
            <v>1.0810585529317216</v>
          </cell>
        </row>
        <row r="103">
          <cell r="A103" t="str">
            <v>24:Q4</v>
          </cell>
          <cell r="B103">
            <v>1.1248696121911783</v>
          </cell>
          <cell r="C103">
            <v>1.2735405486644535</v>
          </cell>
          <cell r="D103">
            <v>1.2364052350512185</v>
          </cell>
          <cell r="E103">
            <v>1.2976186434237043</v>
          </cell>
          <cell r="F103">
            <v>0.5500634136785395</v>
          </cell>
          <cell r="G103">
            <v>0.66331305691519216</v>
          </cell>
          <cell r="H103">
            <v>1.0945620040905746</v>
          </cell>
        </row>
        <row r="104">
          <cell r="A104" t="str">
            <v>25:Q1</v>
          </cell>
          <cell r="B104">
            <v>1.213281106643918</v>
          </cell>
          <cell r="C104">
            <v>1.4865155727142425</v>
          </cell>
          <cell r="D104">
            <v>1.2269401504669504</v>
          </cell>
          <cell r="E104">
            <v>1.4548650886518744</v>
          </cell>
          <cell r="F104">
            <v>0.69817572321135868</v>
          </cell>
          <cell r="G104">
            <v>0.88266565116002782</v>
          </cell>
          <cell r="H104">
            <v>1.2197536938619893</v>
          </cell>
        </row>
        <row r="105">
          <cell r="A105" t="str">
            <v>25:Q2</v>
          </cell>
          <cell r="B105">
            <v>1.3157610042861356</v>
          </cell>
          <cell r="C105">
            <v>1.5017357262822166</v>
          </cell>
          <cell r="D105">
            <v>1.4165826504703889</v>
          </cell>
          <cell r="E105">
            <v>1.442859512523587</v>
          </cell>
          <cell r="F105">
            <v>0.77733877357562853</v>
          </cell>
          <cell r="G105">
            <v>0.91931165424100558</v>
          </cell>
          <cell r="H105">
            <v>1.2913870609776286</v>
          </cell>
        </row>
        <row r="106">
          <cell r="A106" t="str">
            <v>25:Q3</v>
          </cell>
          <cell r="B106">
            <v>1.4095757803694184</v>
          </cell>
          <cell r="C106">
            <v>1.5527356511115409</v>
          </cell>
          <cell r="D106">
            <v>1.4239125460946882</v>
          </cell>
          <cell r="E106">
            <v>1.3063044568410145</v>
          </cell>
          <cell r="F106">
            <v>0.76616392829067537</v>
          </cell>
          <cell r="G106">
            <v>1.021053502648122</v>
          </cell>
          <cell r="H106">
            <v>1.284157883859333</v>
          </cell>
        </row>
        <row r="107">
          <cell r="A107" t="str">
            <v>25:Q4</v>
          </cell>
          <cell r="B107">
            <v>1.5434753196184081</v>
          </cell>
          <cell r="C107">
            <v>1.5869973953013921</v>
          </cell>
          <cell r="D107">
            <v>1.4994549728079634</v>
          </cell>
          <cell r="E107">
            <v>1.503322854504618</v>
          </cell>
          <cell r="F107">
            <v>0.95293098534631404</v>
          </cell>
          <cell r="G107">
            <v>0.9570578519030849</v>
          </cell>
          <cell r="H107">
            <v>1.3842170952064834</v>
          </cell>
        </row>
        <row r="108">
          <cell r="A108" t="str">
            <v>26:Q1</v>
          </cell>
          <cell r="B108">
            <v>1.7283683132344758</v>
          </cell>
          <cell r="C108">
            <v>1.6615543275072415</v>
          </cell>
          <cell r="D108">
            <v>1.6846194395813832</v>
          </cell>
          <cell r="E108">
            <v>1.6439326713745834</v>
          </cell>
          <cell r="F108">
            <v>0.95383727934201212</v>
          </cell>
          <cell r="G108">
            <v>0.83555501970576496</v>
          </cell>
          <cell r="H108">
            <v>1.4791378800617692</v>
          </cell>
        </row>
      </sheetData>
      <sheetData sheetId="45" refreshError="1"/>
      <sheetData sheetId="46">
        <row r="1">
          <cell r="A1" t="str">
            <v>Transition into Serious Delinquency (90+) for Auto Loans by Age</v>
          </cell>
        </row>
        <row r="2">
          <cell r="A2" t="str">
            <v>Percent</v>
          </cell>
        </row>
        <row r="3">
          <cell r="A3" t="str">
            <v>quarter</v>
          </cell>
          <cell r="B3" t="str">
            <v>18-29</v>
          </cell>
          <cell r="C3" t="str">
            <v>30-39</v>
          </cell>
          <cell r="D3" t="str">
            <v>40-49</v>
          </cell>
          <cell r="E3" t="str">
            <v>50-59</v>
          </cell>
          <cell r="F3" t="str">
            <v>60-69</v>
          </cell>
          <cell r="G3" t="str">
            <v>70+</v>
          </cell>
          <cell r="H3" t="str">
            <v>all</v>
          </cell>
        </row>
        <row r="4">
          <cell r="A4" t="str">
            <v>00:Q1</v>
          </cell>
          <cell r="B4">
            <v>2.98329037467624</v>
          </cell>
          <cell r="C4">
            <v>1.8976957919470172</v>
          </cell>
          <cell r="D4">
            <v>1.7389606372475637</v>
          </cell>
          <cell r="E4">
            <v>1.0974311158392038</v>
          </cell>
          <cell r="F4">
            <v>2.1085046597645327</v>
          </cell>
          <cell r="G4">
            <v>1.6632292005515372</v>
          </cell>
          <cell r="H4">
            <v>1.8627070777289449</v>
          </cell>
        </row>
        <row r="5">
          <cell r="A5" t="str">
            <v>00:Q2</v>
          </cell>
          <cell r="B5">
            <v>3.0611542009584185</v>
          </cell>
          <cell r="C5">
            <v>1.9285352721015658</v>
          </cell>
          <cell r="D5">
            <v>1.5684720199020821</v>
          </cell>
          <cell r="E5">
            <v>1.2430080629360487</v>
          </cell>
          <cell r="F5">
            <v>2.0606318109510595</v>
          </cell>
          <cell r="G5">
            <v>1.2843299130956771</v>
          </cell>
          <cell r="H5">
            <v>1.8482541391714964</v>
          </cell>
        </row>
        <row r="6">
          <cell r="A6" t="str">
            <v>00:Q3</v>
          </cell>
          <cell r="B6">
            <v>2.9254243901673931</v>
          </cell>
          <cell r="C6">
            <v>1.9768985531615209</v>
          </cell>
          <cell r="D6">
            <v>1.3996865112021453</v>
          </cell>
          <cell r="E6">
            <v>1.2182107165114779</v>
          </cell>
          <cell r="F6">
            <v>1.2544184339511166</v>
          </cell>
          <cell r="G6">
            <v>1.210404156771077</v>
          </cell>
          <cell r="H6">
            <v>1.7321105762577664</v>
          </cell>
        </row>
        <row r="7">
          <cell r="A7" t="str">
            <v>00:Q4</v>
          </cell>
          <cell r="B7">
            <v>3.0982393387099156</v>
          </cell>
          <cell r="C7">
            <v>2.1934730944067913</v>
          </cell>
          <cell r="D7">
            <v>1.4744985231562568</v>
          </cell>
          <cell r="E7">
            <v>1.5415040816250347</v>
          </cell>
          <cell r="F7">
            <v>1.3328179046277631</v>
          </cell>
          <cell r="G7">
            <v>1.8445041721817719</v>
          </cell>
          <cell r="H7">
            <v>1.9302939160983135</v>
          </cell>
        </row>
        <row r="8">
          <cell r="A8" t="str">
            <v>01:Q1</v>
          </cell>
          <cell r="B8">
            <v>3.0340780805304011</v>
          </cell>
          <cell r="C8">
            <v>2.3949479879098896</v>
          </cell>
          <cell r="D8">
            <v>1.393825780989556</v>
          </cell>
          <cell r="E8">
            <v>1.5121820984701728</v>
          </cell>
          <cell r="F8">
            <v>0.79904398271611488</v>
          </cell>
          <cell r="G8">
            <v>1.8605443032507951</v>
          </cell>
          <cell r="H8">
            <v>1.9107454408300393</v>
          </cell>
        </row>
        <row r="9">
          <cell r="A9" t="str">
            <v>01:Q2</v>
          </cell>
          <cell r="B9">
            <v>2.9837384062505521</v>
          </cell>
          <cell r="C9">
            <v>2.4848773541411426</v>
          </cell>
          <cell r="D9">
            <v>1.5146011283481815</v>
          </cell>
          <cell r="E9">
            <v>1.5744616046355218</v>
          </cell>
          <cell r="F9">
            <v>1.1115375130651208</v>
          </cell>
          <cell r="G9">
            <v>2.1020278091594133</v>
          </cell>
          <cell r="H9">
            <v>2.0119517056371472</v>
          </cell>
        </row>
        <row r="10">
          <cell r="A10" t="str">
            <v>01:Q3</v>
          </cell>
          <cell r="B10">
            <v>3.2964618106429313</v>
          </cell>
          <cell r="C10">
            <v>2.6840460146063516</v>
          </cell>
          <cell r="D10">
            <v>1.7043698412378641</v>
          </cell>
          <cell r="E10">
            <v>1.5563845053995968</v>
          </cell>
          <cell r="F10">
            <v>1.2187000287019671</v>
          </cell>
          <cell r="G10">
            <v>2.3510133839630187</v>
          </cell>
          <cell r="H10">
            <v>2.1751292251440977</v>
          </cell>
        </row>
        <row r="11">
          <cell r="A11" t="str">
            <v>01:Q4</v>
          </cell>
          <cell r="B11">
            <v>3.4710263297698449</v>
          </cell>
          <cell r="C11">
            <v>2.8418885869381323</v>
          </cell>
          <cell r="D11">
            <v>1.8001310096841021</v>
          </cell>
          <cell r="E11">
            <v>1.481980520988627</v>
          </cell>
          <cell r="F11">
            <v>1.1643776999578359</v>
          </cell>
          <cell r="G11">
            <v>2.0742107878847538</v>
          </cell>
          <cell r="H11">
            <v>2.2388303461647872</v>
          </cell>
        </row>
        <row r="12">
          <cell r="A12" t="str">
            <v>02:Q1</v>
          </cell>
          <cell r="B12">
            <v>3.9809804255817651</v>
          </cell>
          <cell r="C12">
            <v>2.828595799357295</v>
          </cell>
          <cell r="D12">
            <v>1.9959554484032775</v>
          </cell>
          <cell r="E12">
            <v>1.5502154905705632</v>
          </cell>
          <cell r="F12">
            <v>1.3347976464447657</v>
          </cell>
          <cell r="G12">
            <v>2.2244031923480168</v>
          </cell>
          <cell r="H12">
            <v>2.40569019633157</v>
          </cell>
        </row>
        <row r="13">
          <cell r="A13" t="str">
            <v>02:Q2</v>
          </cell>
          <cell r="B13">
            <v>4.2558502820173327</v>
          </cell>
          <cell r="C13">
            <v>2.755749327400717</v>
          </cell>
          <cell r="D13">
            <v>2.1251916797315804</v>
          </cell>
          <cell r="E13">
            <v>1.6250769209127194</v>
          </cell>
          <cell r="F13">
            <v>1.077363907062773</v>
          </cell>
          <cell r="G13">
            <v>1.9278516602835594</v>
          </cell>
          <cell r="H13">
            <v>2.4340183088771252</v>
          </cell>
        </row>
        <row r="14">
          <cell r="A14" t="str">
            <v>02:Q3</v>
          </cell>
          <cell r="B14">
            <v>4.313553584723218</v>
          </cell>
          <cell r="C14">
            <v>2.7007089923888992</v>
          </cell>
          <cell r="D14">
            <v>2.1672417228620464</v>
          </cell>
          <cell r="E14">
            <v>1.6515093135093055</v>
          </cell>
          <cell r="F14">
            <v>1.0390426861568565</v>
          </cell>
          <cell r="G14">
            <v>1.9261817230587497</v>
          </cell>
          <cell r="H14">
            <v>2.4329897940067493</v>
          </cell>
        </row>
        <row r="15">
          <cell r="A15" t="str">
            <v>02:Q4</v>
          </cell>
          <cell r="B15">
            <v>4.1985773698177908</v>
          </cell>
          <cell r="C15">
            <v>2.5845620871064616</v>
          </cell>
          <cell r="D15">
            <v>2.0747870271520457</v>
          </cell>
          <cell r="E15">
            <v>1.3722853849575491</v>
          </cell>
          <cell r="F15">
            <v>1.1340060239844612</v>
          </cell>
          <cell r="G15">
            <v>1.6593593506134701</v>
          </cell>
          <cell r="H15">
            <v>2.2993707394228742</v>
          </cell>
        </row>
        <row r="16">
          <cell r="A16" t="str">
            <v>03:Q1</v>
          </cell>
          <cell r="B16">
            <v>3.935946700642043</v>
          </cell>
          <cell r="C16">
            <v>2.5672024967290894</v>
          </cell>
          <cell r="D16">
            <v>1.9296042788658492</v>
          </cell>
          <cell r="E16">
            <v>1.3584866925404355</v>
          </cell>
          <cell r="F16">
            <v>0.99673579663336165</v>
          </cell>
          <cell r="G16">
            <v>1.352116200659899</v>
          </cell>
          <cell r="H16">
            <v>2.1792768804552414</v>
          </cell>
        </row>
        <row r="17">
          <cell r="A17" t="str">
            <v>03:Q2</v>
          </cell>
          <cell r="B17">
            <v>3.8332464451152792</v>
          </cell>
          <cell r="C17">
            <v>2.5852869701799217</v>
          </cell>
          <cell r="D17">
            <v>1.9138632638693742</v>
          </cell>
          <cell r="E17">
            <v>1.3731036732312241</v>
          </cell>
          <cell r="F17">
            <v>1.1698026810539666</v>
          </cell>
          <cell r="G17">
            <v>1.5552575703356712</v>
          </cell>
          <cell r="H17">
            <v>2.1882547913205861</v>
          </cell>
        </row>
        <row r="18">
          <cell r="A18" t="str">
            <v>03:Q3</v>
          </cell>
          <cell r="B18">
            <v>3.5863894769468359</v>
          </cell>
          <cell r="C18">
            <v>2.543528650163247</v>
          </cell>
          <cell r="D18">
            <v>1.9554473385412854</v>
          </cell>
          <cell r="E18">
            <v>1.3233619000464614</v>
          </cell>
          <cell r="F18">
            <v>1.1200161748734203</v>
          </cell>
          <cell r="G18">
            <v>1.578777366429271</v>
          </cell>
          <cell r="H18">
            <v>2.1392734857270836</v>
          </cell>
        </row>
        <row r="19">
          <cell r="A19" t="str">
            <v>03:Q4</v>
          </cell>
          <cell r="B19">
            <v>3.3109987088547075</v>
          </cell>
          <cell r="C19">
            <v>2.3086734648557612</v>
          </cell>
          <cell r="D19">
            <v>1.9590882680632555</v>
          </cell>
          <cell r="E19">
            <v>1.4266281806385597</v>
          </cell>
          <cell r="F19">
            <v>0.95640764300490078</v>
          </cell>
          <cell r="G19">
            <v>1.5894168042654502</v>
          </cell>
          <cell r="H19">
            <v>2.0442618539889392</v>
          </cell>
        </row>
        <row r="20">
          <cell r="A20" t="str">
            <v>04:Q1</v>
          </cell>
          <cell r="B20">
            <v>3.0558909997153751</v>
          </cell>
          <cell r="C20">
            <v>2.1384270891519215</v>
          </cell>
          <cell r="D20">
            <v>1.9886885472887221</v>
          </cell>
          <cell r="E20">
            <v>1.372644147999905</v>
          </cell>
          <cell r="F20">
            <v>1.0710208053129511</v>
          </cell>
          <cell r="G20">
            <v>1.5851145776858173</v>
          </cell>
          <cell r="H20">
            <v>1.9659506042689889</v>
          </cell>
        </row>
        <row r="21">
          <cell r="A21" t="str">
            <v>04:Q2</v>
          </cell>
          <cell r="B21">
            <v>2.7883768477825073</v>
          </cell>
          <cell r="C21">
            <v>2.1165653741070671</v>
          </cell>
          <cell r="D21">
            <v>1.8204342198485906</v>
          </cell>
          <cell r="E21">
            <v>1.1946226243359162</v>
          </cell>
          <cell r="F21">
            <v>0.97063038542995872</v>
          </cell>
          <cell r="G21">
            <v>1.402330404656962</v>
          </cell>
          <cell r="H21">
            <v>1.8216758910646853</v>
          </cell>
        </row>
        <row r="22">
          <cell r="A22" t="str">
            <v>04:Q3</v>
          </cell>
          <cell r="B22">
            <v>2.6362453152095648</v>
          </cell>
          <cell r="C22">
            <v>2.1516069263355457</v>
          </cell>
          <cell r="D22">
            <v>1.6979298312992337</v>
          </cell>
          <cell r="E22">
            <v>1.2343348401882881</v>
          </cell>
          <cell r="F22">
            <v>0.96998371916809101</v>
          </cell>
          <cell r="G22">
            <v>1.1316202282409715</v>
          </cell>
          <cell r="H22">
            <v>1.7711392481906336</v>
          </cell>
        </row>
        <row r="23">
          <cell r="A23" t="str">
            <v>04:Q4</v>
          </cell>
          <cell r="B23">
            <v>2.8492539883438042</v>
          </cell>
          <cell r="C23">
            <v>2.1854665489704219</v>
          </cell>
          <cell r="D23">
            <v>1.6759468777823527</v>
          </cell>
          <cell r="E23">
            <v>1.1379338301669828</v>
          </cell>
          <cell r="F23">
            <v>0.99988710933265335</v>
          </cell>
          <cell r="G23">
            <v>1.083847060320497</v>
          </cell>
          <cell r="H23">
            <v>1.7794355167935691</v>
          </cell>
        </row>
        <row r="24">
          <cell r="A24" t="str">
            <v>05:Q1</v>
          </cell>
          <cell r="B24">
            <v>2.8585894657656832</v>
          </cell>
          <cell r="C24">
            <v>2.1999985402651698</v>
          </cell>
          <cell r="D24">
            <v>1.4645235029729646</v>
          </cell>
          <cell r="E24">
            <v>1.0087157028894889</v>
          </cell>
          <cell r="F24">
            <v>0.92014481725277919</v>
          </cell>
          <cell r="G24">
            <v>1.081300840561888</v>
          </cell>
          <cell r="H24">
            <v>1.6910925530357848</v>
          </cell>
        </row>
        <row r="25">
          <cell r="A25" t="str">
            <v>05:Q2</v>
          </cell>
          <cell r="B25">
            <v>2.8759376745809528</v>
          </cell>
          <cell r="C25">
            <v>2.0979431816329761</v>
          </cell>
          <cell r="D25">
            <v>1.5021183595542464</v>
          </cell>
          <cell r="E25">
            <v>1.0208398693216842</v>
          </cell>
          <cell r="F25">
            <v>0.83832867028017533</v>
          </cell>
          <cell r="G25">
            <v>1.0514355365138504</v>
          </cell>
          <cell r="H25">
            <v>1.6749714186772235</v>
          </cell>
        </row>
        <row r="26">
          <cell r="A26" t="str">
            <v>05:Q3</v>
          </cell>
          <cell r="B26">
            <v>3.0261696552031134</v>
          </cell>
          <cell r="C26">
            <v>1.9980372438278784</v>
          </cell>
          <cell r="D26">
            <v>1.4693905112321055</v>
          </cell>
          <cell r="E26">
            <v>0.9834684154723824</v>
          </cell>
          <cell r="F26">
            <v>0.90504904565622613</v>
          </cell>
          <cell r="G26">
            <v>1.1048218034348034</v>
          </cell>
          <cell r="H26">
            <v>1.6620116318869389</v>
          </cell>
        </row>
        <row r="27">
          <cell r="A27" t="str">
            <v>05:Q4</v>
          </cell>
          <cell r="B27">
            <v>2.8671184251601356</v>
          </cell>
          <cell r="C27">
            <v>2.0275820635295401</v>
          </cell>
          <cell r="D27">
            <v>1.4908916032302275</v>
          </cell>
          <cell r="E27">
            <v>1.0010624004347883</v>
          </cell>
          <cell r="F27">
            <v>1.0397912342457187</v>
          </cell>
          <cell r="G27">
            <v>1.2043561956130555</v>
          </cell>
          <cell r="H27">
            <v>1.6697104100473585</v>
          </cell>
        </row>
        <row r="28">
          <cell r="A28" t="str">
            <v>06:Q1</v>
          </cell>
          <cell r="B28">
            <v>2.8941815097007559</v>
          </cell>
          <cell r="C28">
            <v>1.9165815799771384</v>
          </cell>
          <cell r="D28">
            <v>1.5575121032775021</v>
          </cell>
          <cell r="E28">
            <v>0.98031202667279371</v>
          </cell>
          <cell r="F28">
            <v>0.99041586067978271</v>
          </cell>
          <cell r="G28">
            <v>1.3923999772282658</v>
          </cell>
          <cell r="H28">
            <v>1.6600382169529377</v>
          </cell>
        </row>
        <row r="29">
          <cell r="A29" t="str">
            <v>06:Q2</v>
          </cell>
          <cell r="B29">
            <v>3.0931420701187422</v>
          </cell>
          <cell r="C29">
            <v>2.2380235936209867</v>
          </cell>
          <cell r="D29">
            <v>1.5499672169722627</v>
          </cell>
          <cell r="E29">
            <v>1.0006296983486545</v>
          </cell>
          <cell r="F29">
            <v>1.1385104411551299</v>
          </cell>
          <cell r="G29">
            <v>1.6240443084018521</v>
          </cell>
          <cell r="H29">
            <v>1.7859827325840651</v>
          </cell>
        </row>
        <row r="30">
          <cell r="A30" t="str">
            <v>06:Q3</v>
          </cell>
          <cell r="B30">
            <v>3.2920013625846858</v>
          </cell>
          <cell r="C30">
            <v>2.492634864702846</v>
          </cell>
          <cell r="D30">
            <v>1.8369023240359357</v>
          </cell>
          <cell r="E30">
            <v>1.1430814646058547</v>
          </cell>
          <cell r="F30">
            <v>1.4047033616707376</v>
          </cell>
          <cell r="G30">
            <v>1.8773396163608391</v>
          </cell>
          <cell r="H30">
            <v>2.0165148473576688</v>
          </cell>
        </row>
        <row r="31">
          <cell r="A31" t="str">
            <v>06:Q4</v>
          </cell>
          <cell r="B31">
            <v>3.583840049912161</v>
          </cell>
          <cell r="C31">
            <v>2.7172831362497556</v>
          </cell>
          <cell r="D31">
            <v>2.1340659687152881</v>
          </cell>
          <cell r="E31">
            <v>1.2668511874203539</v>
          </cell>
          <cell r="F31">
            <v>1.2973285050352243</v>
          </cell>
          <cell r="G31">
            <v>2.0863094394728243</v>
          </cell>
          <cell r="H31">
            <v>2.2186831583295699</v>
          </cell>
        </row>
        <row r="32">
          <cell r="A32" t="str">
            <v>07:Q1</v>
          </cell>
          <cell r="B32">
            <v>3.4856554825721608</v>
          </cell>
          <cell r="C32">
            <v>2.9698291972270754</v>
          </cell>
          <cell r="D32">
            <v>2.2477536509810134</v>
          </cell>
          <cell r="E32">
            <v>1.395004550078738</v>
          </cell>
          <cell r="F32">
            <v>1.3313474812035508</v>
          </cell>
          <cell r="G32">
            <v>2.3474373939805697</v>
          </cell>
          <cell r="H32">
            <v>2.3363813841842571</v>
          </cell>
        </row>
        <row r="33">
          <cell r="A33" t="str">
            <v>07:Q2</v>
          </cell>
          <cell r="B33">
            <v>3.5452568069605963</v>
          </cell>
          <cell r="C33">
            <v>2.875191774156975</v>
          </cell>
          <cell r="D33">
            <v>2.3691459714866827</v>
          </cell>
          <cell r="E33">
            <v>1.4195063507990262</v>
          </cell>
          <cell r="F33">
            <v>1.3719715906625845</v>
          </cell>
          <cell r="G33">
            <v>2.0940771678503309</v>
          </cell>
          <cell r="H33">
            <v>2.3630471812401419</v>
          </cell>
        </row>
        <row r="34">
          <cell r="A34" t="str">
            <v>07:Q3</v>
          </cell>
          <cell r="B34">
            <v>3.6379646070944704</v>
          </cell>
          <cell r="C34">
            <v>2.9846469023621038</v>
          </cell>
          <cell r="D34">
            <v>2.2879413905859867</v>
          </cell>
          <cell r="E34">
            <v>1.3238644161741677</v>
          </cell>
          <cell r="F34">
            <v>1.2511383085612691</v>
          </cell>
          <cell r="G34">
            <v>1.7550851782755748</v>
          </cell>
          <cell r="H34">
            <v>2.3401847281602874</v>
          </cell>
        </row>
        <row r="35">
          <cell r="A35" t="str">
            <v>07:Q4</v>
          </cell>
          <cell r="B35">
            <v>4.0532414217337163</v>
          </cell>
          <cell r="C35">
            <v>3.1381931212704188</v>
          </cell>
          <cell r="D35">
            <v>2.1045280104230115</v>
          </cell>
          <cell r="E35">
            <v>1.4307057242086529</v>
          </cell>
          <cell r="F35">
            <v>1.4906507538731506</v>
          </cell>
          <cell r="G35">
            <v>1.7564589453225521</v>
          </cell>
          <cell r="H35">
            <v>2.4407337190619813</v>
          </cell>
        </row>
        <row r="36">
          <cell r="A36" t="str">
            <v>08:Q1</v>
          </cell>
          <cell r="B36">
            <v>4.4671524323093719</v>
          </cell>
          <cell r="C36">
            <v>3.3710097532988987</v>
          </cell>
          <cell r="D36">
            <v>2.2847635367637036</v>
          </cell>
          <cell r="E36">
            <v>1.7133232721352649</v>
          </cell>
          <cell r="F36">
            <v>1.9782011020343309</v>
          </cell>
          <cell r="G36">
            <v>1.6948799248592668</v>
          </cell>
          <cell r="H36">
            <v>2.7117825921421415</v>
          </cell>
        </row>
        <row r="37">
          <cell r="A37" t="str">
            <v>08:Q2</v>
          </cell>
          <cell r="B37">
            <v>4.6434882858681856</v>
          </cell>
          <cell r="C37">
            <v>3.5297293256422315</v>
          </cell>
          <cell r="D37">
            <v>2.3825968160072426</v>
          </cell>
          <cell r="E37">
            <v>1.9533023834896011</v>
          </cell>
          <cell r="F37">
            <v>1.8882105349363756</v>
          </cell>
          <cell r="G37">
            <v>1.9786266856347003</v>
          </cell>
          <cell r="H37">
            <v>2.8483850922988956</v>
          </cell>
        </row>
        <row r="38">
          <cell r="A38" t="str">
            <v>08:Q3</v>
          </cell>
          <cell r="B38">
            <v>5.1234750686362203</v>
          </cell>
          <cell r="C38">
            <v>3.8112321840415269</v>
          </cell>
          <cell r="D38">
            <v>2.6541618905690343</v>
          </cell>
          <cell r="E38">
            <v>2.3443892691445174</v>
          </cell>
          <cell r="F38">
            <v>1.8866348008904761</v>
          </cell>
          <cell r="G38">
            <v>2.2384366854223634</v>
          </cell>
          <cell r="H38">
            <v>3.1458267425219648</v>
          </cell>
        </row>
        <row r="39">
          <cell r="A39" t="str">
            <v>08:Q4</v>
          </cell>
          <cell r="B39">
            <v>5.42735336837272</v>
          </cell>
          <cell r="C39">
            <v>3.9003157338980499</v>
          </cell>
          <cell r="D39">
            <v>2.9122961286950648</v>
          </cell>
          <cell r="E39">
            <v>2.4540188213142349</v>
          </cell>
          <cell r="F39">
            <v>1.7248833755154305</v>
          </cell>
          <cell r="G39">
            <v>2.3317112981132837</v>
          </cell>
          <cell r="H39">
            <v>3.2859938224667284</v>
          </cell>
        </row>
        <row r="40">
          <cell r="A40" t="str">
            <v>09:Q1</v>
          </cell>
          <cell r="B40">
            <v>5.5867520033109237</v>
          </cell>
          <cell r="C40">
            <v>3.997408723784067</v>
          </cell>
          <cell r="D40">
            <v>3.0661751732432942</v>
          </cell>
          <cell r="E40">
            <v>2.4929045413614794</v>
          </cell>
          <cell r="F40">
            <v>1.4886769069697179</v>
          </cell>
          <cell r="G40">
            <v>2.3692840593378404</v>
          </cell>
          <cell r="H40">
            <v>3.3575194505876818</v>
          </cell>
        </row>
        <row r="41">
          <cell r="A41" t="str">
            <v>09:Q2</v>
          </cell>
          <cell r="B41">
            <v>5.6172246492981674</v>
          </cell>
          <cell r="C41">
            <v>4.0589315958164933</v>
          </cell>
          <cell r="D41">
            <v>3.2735619837922556</v>
          </cell>
          <cell r="E41">
            <v>2.572462788097587</v>
          </cell>
          <cell r="F41">
            <v>1.8857429031969755</v>
          </cell>
          <cell r="G41">
            <v>2.1980257706879844</v>
          </cell>
          <cell r="H41">
            <v>3.4769074776592102</v>
          </cell>
        </row>
        <row r="42">
          <cell r="A42" t="str">
            <v>09:Q3</v>
          </cell>
          <cell r="B42">
            <v>5.2977289229258764</v>
          </cell>
          <cell r="C42">
            <v>3.8717089495020307</v>
          </cell>
          <cell r="D42">
            <v>3.2978186667436771</v>
          </cell>
          <cell r="E42">
            <v>2.3658444275102153</v>
          </cell>
          <cell r="F42">
            <v>1.9152046273722245</v>
          </cell>
          <cell r="G42">
            <v>2.2560148598617555</v>
          </cell>
          <cell r="H42">
            <v>3.3432925603551573</v>
          </cell>
        </row>
        <row r="43">
          <cell r="A43" t="str">
            <v>09:Q4</v>
          </cell>
          <cell r="B43">
            <v>4.6489808828775692</v>
          </cell>
          <cell r="C43">
            <v>3.8051295970055339</v>
          </cell>
          <cell r="D43">
            <v>3.3626857166897786</v>
          </cell>
          <cell r="E43">
            <v>2.3746332451699903</v>
          </cell>
          <cell r="F43">
            <v>2.0348102679507458</v>
          </cell>
          <cell r="G43">
            <v>2.1214158325640255</v>
          </cell>
          <cell r="H43">
            <v>3.2435399025864293</v>
          </cell>
        </row>
        <row r="44">
          <cell r="A44" t="str">
            <v>10:Q1</v>
          </cell>
          <cell r="B44">
            <v>4.450514721098223</v>
          </cell>
          <cell r="C44">
            <v>3.567227804052457</v>
          </cell>
          <cell r="D44">
            <v>3.3353023354736959</v>
          </cell>
          <cell r="E44">
            <v>2.2781521211888665</v>
          </cell>
          <cell r="F44">
            <v>1.8569886120409655</v>
          </cell>
          <cell r="G44">
            <v>2.02596747908744</v>
          </cell>
          <cell r="H44">
            <v>3.0974259971952329</v>
          </cell>
        </row>
        <row r="45">
          <cell r="A45" t="str">
            <v>10:Q2</v>
          </cell>
          <cell r="B45">
            <v>4.3026064201365095</v>
          </cell>
          <cell r="C45">
            <v>3.4313475802077531</v>
          </cell>
          <cell r="D45">
            <v>3.0204888611565459</v>
          </cell>
          <cell r="E45">
            <v>2.0066947179719374</v>
          </cell>
          <cell r="F45">
            <v>1.4923936642001863</v>
          </cell>
          <cell r="G45">
            <v>2.0479312801660825</v>
          </cell>
          <cell r="H45">
            <v>2.853606168040915</v>
          </cell>
        </row>
        <row r="46">
          <cell r="A46" t="str">
            <v>10:Q3</v>
          </cell>
          <cell r="B46">
            <v>3.9424908681160873</v>
          </cell>
          <cell r="C46">
            <v>3.1194625922944592</v>
          </cell>
          <cell r="D46">
            <v>2.5770010582828613</v>
          </cell>
          <cell r="E46">
            <v>1.9183404056423756</v>
          </cell>
          <cell r="F46">
            <v>1.2405882163651079</v>
          </cell>
          <cell r="G46">
            <v>1.9541992630249743</v>
          </cell>
          <cell r="H46">
            <v>2.5546213305287155</v>
          </cell>
        </row>
        <row r="47">
          <cell r="A47" t="str">
            <v>10:Q4</v>
          </cell>
          <cell r="B47">
            <v>3.5887218852051288</v>
          </cell>
          <cell r="C47">
            <v>2.892944791377976</v>
          </cell>
          <cell r="D47">
            <v>2.232420517380322</v>
          </cell>
          <cell r="E47">
            <v>1.7233142495483049</v>
          </cell>
          <cell r="F47">
            <v>1.1435384210104145</v>
          </cell>
          <cell r="G47">
            <v>2.099218763610629</v>
          </cell>
          <cell r="H47">
            <v>2.3112740306541166</v>
          </cell>
        </row>
        <row r="48">
          <cell r="A48" t="str">
            <v>11:Q1</v>
          </cell>
          <cell r="B48">
            <v>3.1218722665680243</v>
          </cell>
          <cell r="C48">
            <v>2.6170393478733138</v>
          </cell>
          <cell r="D48">
            <v>1.8775179993333717</v>
          </cell>
          <cell r="E48">
            <v>1.502919647629313</v>
          </cell>
          <cell r="F48">
            <v>1.0888936201903363</v>
          </cell>
          <cell r="G48">
            <v>1.9402142448880573</v>
          </cell>
          <cell r="H48">
            <v>2.0259607616327147</v>
          </cell>
        </row>
        <row r="49">
          <cell r="A49" t="str">
            <v>11:Q2</v>
          </cell>
          <cell r="B49">
            <v>2.6947396093618119</v>
          </cell>
          <cell r="C49">
            <v>2.3686467689184911</v>
          </cell>
          <cell r="D49">
            <v>1.719973503924344</v>
          </cell>
          <cell r="E49">
            <v>1.4839329724517816</v>
          </cell>
          <cell r="F49">
            <v>1.0421251381192593</v>
          </cell>
          <cell r="G49">
            <v>1.8227355153772589</v>
          </cell>
          <cell r="H49">
            <v>1.8579013238511566</v>
          </cell>
        </row>
        <row r="50">
          <cell r="A50" t="str">
            <v>11:Q3</v>
          </cell>
          <cell r="B50">
            <v>2.6346825808165555</v>
          </cell>
          <cell r="C50">
            <v>2.3731030900008143</v>
          </cell>
          <cell r="D50">
            <v>1.7148567663237926</v>
          </cell>
          <cell r="E50">
            <v>1.3937120170899813</v>
          </cell>
          <cell r="F50">
            <v>1.0196974652262578</v>
          </cell>
          <cell r="G50">
            <v>1.5346198151614985</v>
          </cell>
          <cell r="H50">
            <v>1.8063735728402079</v>
          </cell>
        </row>
        <row r="51">
          <cell r="A51" t="str">
            <v>11:Q4</v>
          </cell>
          <cell r="B51">
            <v>2.496273748380097</v>
          </cell>
          <cell r="C51">
            <v>2.2335937291228287</v>
          </cell>
          <cell r="D51">
            <v>1.6325316262961658</v>
          </cell>
          <cell r="E51">
            <v>1.2823334004817648</v>
          </cell>
          <cell r="F51">
            <v>1.0239549780239638</v>
          </cell>
          <cell r="G51">
            <v>1.0867160568921927</v>
          </cell>
          <cell r="H51">
            <v>1.6886923230100961</v>
          </cell>
        </row>
        <row r="52">
          <cell r="A52" t="str">
            <v>12:Q1</v>
          </cell>
          <cell r="B52">
            <v>2.4766974075012613</v>
          </cell>
          <cell r="C52">
            <v>2.1984898459843945</v>
          </cell>
          <cell r="D52">
            <v>1.5423261255007314</v>
          </cell>
          <cell r="E52">
            <v>1.1982213564105046</v>
          </cell>
          <cell r="F52">
            <v>1.0022221645696268</v>
          </cell>
          <cell r="G52">
            <v>0.97378157742427296</v>
          </cell>
          <cell r="H52">
            <v>1.6268435036770497</v>
          </cell>
        </row>
        <row r="53">
          <cell r="A53" t="str">
            <v>12:Q2</v>
          </cell>
          <cell r="B53">
            <v>2.5281441438062044</v>
          </cell>
          <cell r="C53">
            <v>2.1325355828562182</v>
          </cell>
          <cell r="D53">
            <v>1.5757420198011269</v>
          </cell>
          <cell r="E53">
            <v>1.092856284978958</v>
          </cell>
          <cell r="F53">
            <v>0.99599383830048172</v>
          </cell>
          <cell r="G53">
            <v>0.91716816354150987</v>
          </cell>
          <cell r="H53">
            <v>1.5970668318403176</v>
          </cell>
        </row>
        <row r="54">
          <cell r="A54" t="str">
            <v>12:Q3</v>
          </cell>
          <cell r="B54">
            <v>2.4132258895398127</v>
          </cell>
          <cell r="C54">
            <v>1.9342453583570718</v>
          </cell>
          <cell r="D54">
            <v>1.4883692054746809</v>
          </cell>
          <cell r="E54">
            <v>1.035242988452618</v>
          </cell>
          <cell r="F54">
            <v>0.97858884774651123</v>
          </cell>
          <cell r="G54">
            <v>1.248792325960423</v>
          </cell>
          <cell r="H54">
            <v>1.5171573737453796</v>
          </cell>
        </row>
        <row r="55">
          <cell r="A55" t="str">
            <v>12:Q4</v>
          </cell>
          <cell r="B55">
            <v>2.4906820878069889</v>
          </cell>
          <cell r="C55">
            <v>2.057861961843034</v>
          </cell>
          <cell r="D55">
            <v>1.4768136249489334</v>
          </cell>
          <cell r="E55">
            <v>1.0033959152368777</v>
          </cell>
          <cell r="F55">
            <v>0.74935158597051443</v>
          </cell>
          <cell r="G55">
            <v>1.4734973656449553</v>
          </cell>
          <cell r="H55">
            <v>1.5236265950660646</v>
          </cell>
        </row>
        <row r="56">
          <cell r="A56" t="str">
            <v>13:Q1</v>
          </cell>
          <cell r="B56">
            <v>2.5746573125431786</v>
          </cell>
          <cell r="C56">
            <v>2.2608758019450987</v>
          </cell>
          <cell r="D56">
            <v>1.479419995560419</v>
          </cell>
          <cell r="E56">
            <v>1.0112117497674111</v>
          </cell>
          <cell r="F56">
            <v>0.67723338165865021</v>
          </cell>
          <cell r="G56">
            <v>1.4678091240947984</v>
          </cell>
          <cell r="H56">
            <v>1.5713110968353694</v>
          </cell>
        </row>
        <row r="57">
          <cell r="A57" t="str">
            <v>13:Q2</v>
          </cell>
          <cell r="B57">
            <v>2.4716453780239385</v>
          </cell>
          <cell r="C57">
            <v>2.4426132693615417</v>
          </cell>
          <cell r="D57">
            <v>1.4770361157046754</v>
          </cell>
          <cell r="E57">
            <v>1.1061090195364141</v>
          </cell>
          <cell r="F57">
            <v>0.68276387142480188</v>
          </cell>
          <cell r="G57">
            <v>1.6019615942909997</v>
          </cell>
          <cell r="H57">
            <v>1.6283213384090964</v>
          </cell>
        </row>
        <row r="58">
          <cell r="A58" t="str">
            <v>13:Q3</v>
          </cell>
          <cell r="B58">
            <v>2.3971690361309741</v>
          </cell>
          <cell r="C58">
            <v>2.4932634283932478</v>
          </cell>
          <cell r="D58">
            <v>1.5064512779663637</v>
          </cell>
          <cell r="E58">
            <v>1.1215201996606379</v>
          </cell>
          <cell r="F58">
            <v>0.73037591509008837</v>
          </cell>
          <cell r="G58">
            <v>1.2998602476985481</v>
          </cell>
          <cell r="H58">
            <v>1.631065585268527</v>
          </cell>
        </row>
        <row r="59">
          <cell r="A59" t="str">
            <v>13:Q4</v>
          </cell>
          <cell r="B59">
            <v>2.298741252701491</v>
          </cell>
          <cell r="C59">
            <v>2.3373600807712838</v>
          </cell>
          <cell r="D59">
            <v>1.5253069137879438</v>
          </cell>
          <cell r="E59">
            <v>1.0669462755237076</v>
          </cell>
          <cell r="F59">
            <v>0.80084126859291915</v>
          </cell>
          <cell r="G59">
            <v>1.1049180299378549</v>
          </cell>
          <cell r="H59">
            <v>1.5759438354563065</v>
          </cell>
        </row>
        <row r="60">
          <cell r="A60" t="str">
            <v>14:Q1</v>
          </cell>
          <cell r="B60">
            <v>2.2844323091733814</v>
          </cell>
          <cell r="C60">
            <v>2.2441096236947549</v>
          </cell>
          <cell r="D60">
            <v>1.5910725799683056</v>
          </cell>
          <cell r="E60">
            <v>0.99013075367464087</v>
          </cell>
          <cell r="F60">
            <v>0.87807810636437744</v>
          </cell>
          <cell r="G60">
            <v>0.97654792218645325</v>
          </cell>
          <cell r="H60">
            <v>1.5562822641930876</v>
          </cell>
        </row>
        <row r="61">
          <cell r="A61" t="str">
            <v>14:Q2</v>
          </cell>
          <cell r="B61">
            <v>2.6555329133297998</v>
          </cell>
          <cell r="C61">
            <v>2.1747605425399374</v>
          </cell>
          <cell r="D61">
            <v>1.6669503711113018</v>
          </cell>
          <cell r="E61">
            <v>1.0640266611587579</v>
          </cell>
          <cell r="F61">
            <v>0.87416850686631198</v>
          </cell>
          <cell r="G61">
            <v>0.87434607917331475</v>
          </cell>
          <cell r="H61">
            <v>1.6121979639639115</v>
          </cell>
        </row>
        <row r="62">
          <cell r="A62" t="str">
            <v>14:Q3</v>
          </cell>
          <cell r="B62">
            <v>2.9615765638526739</v>
          </cell>
          <cell r="C62">
            <v>2.3539187031407902</v>
          </cell>
          <cell r="D62">
            <v>1.7536551152516775</v>
          </cell>
          <cell r="E62">
            <v>1.1266034148709956</v>
          </cell>
          <cell r="F62">
            <v>0.85987869524418326</v>
          </cell>
          <cell r="G62">
            <v>0.99923270545555365</v>
          </cell>
          <cell r="H62">
            <v>1.7292769215923578</v>
          </cell>
        </row>
        <row r="63">
          <cell r="A63" t="str">
            <v>14:Q4</v>
          </cell>
          <cell r="B63">
            <v>3.165697993983172</v>
          </cell>
          <cell r="C63">
            <v>2.6864263468762504</v>
          </cell>
          <cell r="D63">
            <v>1.8557879045391554</v>
          </cell>
          <cell r="E63">
            <v>1.2449752088229</v>
          </cell>
          <cell r="F63">
            <v>0.87992745477788326</v>
          </cell>
          <cell r="G63">
            <v>0.94393500081689996</v>
          </cell>
          <cell r="H63">
            <v>1.879004118135412</v>
          </cell>
        </row>
        <row r="64">
          <cell r="A64" t="str">
            <v>15:Q1</v>
          </cell>
          <cell r="B64">
            <v>3.5577326688000066</v>
          </cell>
          <cell r="C64">
            <v>2.6545573145592574</v>
          </cell>
          <cell r="D64">
            <v>1.9226708129401411</v>
          </cell>
          <cell r="E64">
            <v>1.2736081687583123</v>
          </cell>
          <cell r="F64">
            <v>0.93380372037712955</v>
          </cell>
          <cell r="G64">
            <v>1.0126730979627148</v>
          </cell>
          <cell r="H64">
            <v>1.9572124516849765</v>
          </cell>
        </row>
        <row r="65">
          <cell r="A65" t="str">
            <v>15:Q2</v>
          </cell>
          <cell r="B65">
            <v>3.7653285236465717</v>
          </cell>
          <cell r="C65">
            <v>2.7632434257826959</v>
          </cell>
          <cell r="D65">
            <v>1.9306538305822525</v>
          </cell>
          <cell r="E65">
            <v>1.2668187734678633</v>
          </cell>
          <cell r="F65">
            <v>0.90250044203623292</v>
          </cell>
          <cell r="G65">
            <v>1.0340098900958095</v>
          </cell>
          <cell r="H65">
            <v>2.0026142844860728</v>
          </cell>
        </row>
        <row r="66">
          <cell r="A66" t="str">
            <v>15:Q3</v>
          </cell>
          <cell r="B66">
            <v>3.9755025382302889</v>
          </cell>
          <cell r="C66">
            <v>2.6583006798631104</v>
          </cell>
          <cell r="D66">
            <v>1.9728840286704321</v>
          </cell>
          <cell r="E66">
            <v>1.2359256447473086</v>
          </cell>
          <cell r="F66">
            <v>1.0308173779160947</v>
          </cell>
          <cell r="G66">
            <v>1.1574919488347875</v>
          </cell>
          <cell r="H66">
            <v>2.0362007201012866</v>
          </cell>
        </row>
        <row r="67">
          <cell r="A67" t="str">
            <v>15:Q4</v>
          </cell>
          <cell r="B67">
            <v>4.1324134597534892</v>
          </cell>
          <cell r="C67">
            <v>2.4924621702685203</v>
          </cell>
          <cell r="D67">
            <v>2.0835429697462065</v>
          </cell>
          <cell r="E67">
            <v>1.2405385318601958</v>
          </cell>
          <cell r="F67">
            <v>1.1360225182848973</v>
          </cell>
          <cell r="G67">
            <v>1.5456591729292746</v>
          </cell>
          <cell r="H67">
            <v>2.0855456689463514</v>
          </cell>
        </row>
        <row r="68">
          <cell r="A68" t="str">
            <v>16:Q1</v>
          </cell>
          <cell r="B68">
            <v>4.2957936178712677</v>
          </cell>
          <cell r="C68">
            <v>2.5981398318538274</v>
          </cell>
          <cell r="D68">
            <v>2.1539492379743841</v>
          </cell>
          <cell r="E68">
            <v>1.3219750695214523</v>
          </cell>
          <cell r="F68">
            <v>1.1919560755999361</v>
          </cell>
          <cell r="G68">
            <v>1.6079330621583776</v>
          </cell>
          <cell r="H68">
            <v>2.1768489689981894</v>
          </cell>
        </row>
        <row r="69">
          <cell r="A69" t="str">
            <v>16:Q2</v>
          </cell>
          <cell r="B69">
            <v>4.1677261926173301</v>
          </cell>
          <cell r="C69">
            <v>2.5588811111845389</v>
          </cell>
          <cell r="D69">
            <v>2.1827999522334949</v>
          </cell>
          <cell r="E69">
            <v>1.2700535387489311</v>
          </cell>
          <cell r="F69">
            <v>1.3106946452002473</v>
          </cell>
          <cell r="G69">
            <v>1.8541314342641908</v>
          </cell>
          <cell r="H69">
            <v>2.1811191800087388</v>
          </cell>
        </row>
        <row r="70">
          <cell r="A70" t="str">
            <v>16:Q3</v>
          </cell>
          <cell r="B70">
            <v>3.963006502936353</v>
          </cell>
          <cell r="C70">
            <v>2.7100535962632768</v>
          </cell>
          <cell r="D70">
            <v>2.2058738059676273</v>
          </cell>
          <cell r="E70">
            <v>1.3755963364965202</v>
          </cell>
          <cell r="F70">
            <v>1.3008592855322247</v>
          </cell>
          <cell r="G70">
            <v>1.7885568922380042</v>
          </cell>
          <cell r="H70">
            <v>2.2105840429669175</v>
          </cell>
        </row>
        <row r="71">
          <cell r="A71" t="str">
            <v>16:Q4</v>
          </cell>
          <cell r="B71">
            <v>4.1517779153028735</v>
          </cell>
          <cell r="C71">
            <v>2.7899669292048737</v>
          </cell>
          <cell r="D71">
            <v>2.1290250241658861</v>
          </cell>
          <cell r="E71">
            <v>1.4023468261842724</v>
          </cell>
          <cell r="F71">
            <v>1.3919645827913152</v>
          </cell>
          <cell r="G71">
            <v>1.7522856508425209</v>
          </cell>
          <cell r="H71">
            <v>2.2485617572284378</v>
          </cell>
        </row>
        <row r="72">
          <cell r="A72" t="str">
            <v>17:Q1</v>
          </cell>
          <cell r="B72">
            <v>4.034349939672337</v>
          </cell>
          <cell r="C72">
            <v>2.8530906633834556</v>
          </cell>
          <cell r="D72">
            <v>2.1392541968572258</v>
          </cell>
          <cell r="E72">
            <v>1.5757706778827798</v>
          </cell>
          <cell r="F72">
            <v>1.3830296683408763</v>
          </cell>
          <cell r="G72">
            <v>2.0717333339623676</v>
          </cell>
          <cell r="H72">
            <v>2.3014488758957268</v>
          </cell>
        </row>
        <row r="73">
          <cell r="A73" t="str">
            <v>17:Q2</v>
          </cell>
          <cell r="B73">
            <v>4.2129612173484894</v>
          </cell>
          <cell r="C73">
            <v>2.7572262881073155</v>
          </cell>
          <cell r="D73">
            <v>2.1608781472315806</v>
          </cell>
          <cell r="E73">
            <v>1.6191506536059381</v>
          </cell>
          <cell r="F73">
            <v>1.4248138727645963</v>
          </cell>
          <cell r="G73">
            <v>1.9124448911206897</v>
          </cell>
          <cell r="H73">
            <v>2.3096404754642545</v>
          </cell>
        </row>
        <row r="74">
          <cell r="A74" t="str">
            <v>17:Q3</v>
          </cell>
          <cell r="B74">
            <v>4.3383172297453196</v>
          </cell>
          <cell r="C74">
            <v>2.8360312245764607</v>
          </cell>
          <cell r="D74">
            <v>2.1715757847474824</v>
          </cell>
          <cell r="E74">
            <v>1.5991710282976679</v>
          </cell>
          <cell r="F74">
            <v>1.5611574731731463</v>
          </cell>
          <cell r="G74">
            <v>2.0355029474435327</v>
          </cell>
          <cell r="H74">
            <v>2.3648665734932415</v>
          </cell>
        </row>
        <row r="75">
          <cell r="A75" t="str">
            <v>17:Q4</v>
          </cell>
          <cell r="B75">
            <v>4.2915213901942941</v>
          </cell>
          <cell r="C75">
            <v>2.6600730178490233</v>
          </cell>
          <cell r="D75">
            <v>2.2375484533711099</v>
          </cell>
          <cell r="E75">
            <v>1.6938913927359012</v>
          </cell>
          <cell r="F75">
            <v>1.4942376997269977</v>
          </cell>
          <cell r="G75">
            <v>1.9029815776050722</v>
          </cell>
          <cell r="H75">
            <v>2.3358668874168558</v>
          </cell>
        </row>
        <row r="76">
          <cell r="A76" t="str">
            <v>18:Q1</v>
          </cell>
          <cell r="B76">
            <v>4.1018307214323873</v>
          </cell>
          <cell r="C76">
            <v>2.6266956304111027</v>
          </cell>
          <cell r="D76">
            <v>2.2301827740701081</v>
          </cell>
          <cell r="E76">
            <v>1.5963472743731073</v>
          </cell>
          <cell r="F76">
            <v>1.6452574337059975</v>
          </cell>
          <cell r="G76">
            <v>1.6864115834254128</v>
          </cell>
          <cell r="H76">
            <v>2.2879825361154111</v>
          </cell>
        </row>
        <row r="77">
          <cell r="A77" t="str">
            <v>18:Q2</v>
          </cell>
          <cell r="B77">
            <v>4.1336874240518018</v>
          </cell>
          <cell r="C77">
            <v>2.7687538279680215</v>
          </cell>
          <cell r="D77">
            <v>2.2913056555435145</v>
          </cell>
          <cell r="E77">
            <v>1.6005637254335263</v>
          </cell>
          <cell r="F77">
            <v>1.653363478142585</v>
          </cell>
          <cell r="G77">
            <v>1.7215706098369163</v>
          </cell>
          <cell r="H77">
            <v>2.34071249197217</v>
          </cell>
        </row>
        <row r="78">
          <cell r="A78" t="str">
            <v>18:Q3</v>
          </cell>
          <cell r="B78">
            <v>4.1849704634704157</v>
          </cell>
          <cell r="C78">
            <v>2.6570783458701217</v>
          </cell>
          <cell r="D78">
            <v>2.2635417561761626</v>
          </cell>
          <cell r="E78">
            <v>1.5935299955551274</v>
          </cell>
          <cell r="F78">
            <v>1.6032718954102014</v>
          </cell>
          <cell r="G78">
            <v>1.6944827798314359</v>
          </cell>
          <cell r="H78">
            <v>2.3048902175277108</v>
          </cell>
        </row>
        <row r="79">
          <cell r="A79" t="str">
            <v>18:Q4</v>
          </cell>
          <cell r="B79">
            <v>4.0440250992067606</v>
          </cell>
          <cell r="C79">
            <v>2.9158656346684917</v>
          </cell>
          <cell r="D79">
            <v>2.3208237067741173</v>
          </cell>
          <cell r="E79">
            <v>1.5976836639654293</v>
          </cell>
          <cell r="F79">
            <v>1.5943858098779098</v>
          </cell>
          <cell r="G79">
            <v>1.8194254805339229</v>
          </cell>
          <cell r="H79">
            <v>2.3644682208139871</v>
          </cell>
        </row>
        <row r="80">
          <cell r="A80" t="str">
            <v>19:Q1</v>
          </cell>
          <cell r="B80">
            <v>4.1522681992081019</v>
          </cell>
          <cell r="C80">
            <v>3.0005702799269898</v>
          </cell>
          <cell r="D80">
            <v>2.2349545594097426</v>
          </cell>
          <cell r="E80">
            <v>1.6142007761018806</v>
          </cell>
          <cell r="F80">
            <v>1.4456915497777816</v>
          </cell>
          <cell r="G80">
            <v>1.8639081385828364</v>
          </cell>
          <cell r="H80">
            <v>2.3647404277185236</v>
          </cell>
        </row>
        <row r="81">
          <cell r="A81" t="str">
            <v>19:Q2</v>
          </cell>
          <cell r="B81">
            <v>3.9021066773129123</v>
          </cell>
          <cell r="C81">
            <v>2.9803831452825849</v>
          </cell>
          <cell r="D81">
            <v>2.2372793809639804</v>
          </cell>
          <cell r="E81">
            <v>1.6578663523942161</v>
          </cell>
          <cell r="F81">
            <v>1.4264679367534858</v>
          </cell>
          <cell r="G81">
            <v>1.9437601717348547</v>
          </cell>
          <cell r="H81">
            <v>2.3437914477418302</v>
          </cell>
        </row>
        <row r="82">
          <cell r="A82" t="str">
            <v>19:Q3</v>
          </cell>
          <cell r="B82">
            <v>3.8000704938491303</v>
          </cell>
          <cell r="C82">
            <v>2.9821877388602038</v>
          </cell>
          <cell r="D82">
            <v>2.3223277170422945</v>
          </cell>
          <cell r="E82">
            <v>1.6828766284882581</v>
          </cell>
          <cell r="F82">
            <v>1.4056635124196499</v>
          </cell>
          <cell r="G82">
            <v>1.7506981690273926</v>
          </cell>
          <cell r="H82">
            <v>2.3402812863702582</v>
          </cell>
        </row>
        <row r="83">
          <cell r="A83" t="str">
            <v>19:Q4</v>
          </cell>
          <cell r="B83">
            <v>4.0618794541196293</v>
          </cell>
          <cell r="C83">
            <v>2.8935294340523736</v>
          </cell>
          <cell r="D83">
            <v>2.3524366007754955</v>
          </cell>
          <cell r="E83">
            <v>1.6769811430885868</v>
          </cell>
          <cell r="F83">
            <v>1.3819502566669304</v>
          </cell>
          <cell r="G83">
            <v>1.8077806657179896</v>
          </cell>
          <cell r="H83">
            <v>2.3598596540122636</v>
          </cell>
        </row>
        <row r="84">
          <cell r="A84" t="str">
            <v>20:Q1</v>
          </cell>
          <cell r="B84">
            <v>4.1435648976214354</v>
          </cell>
          <cell r="C84">
            <v>2.7960735739021865</v>
          </cell>
          <cell r="D84">
            <v>2.4455155737678598</v>
          </cell>
          <cell r="E84">
            <v>1.7108794264847591</v>
          </cell>
          <cell r="F84">
            <v>1.3581511204797347</v>
          </cell>
          <cell r="G84">
            <v>1.7798491690155331</v>
          </cell>
          <cell r="H84">
            <v>2.3710117281898211</v>
          </cell>
        </row>
        <row r="85">
          <cell r="A85" t="str">
            <v>20:Q2</v>
          </cell>
          <cell r="B85">
            <v>4.0984107022894474</v>
          </cell>
          <cell r="C85">
            <v>2.6424009287029477</v>
          </cell>
          <cell r="D85">
            <v>2.3066933056798788</v>
          </cell>
          <cell r="E85">
            <v>1.6534026566985252</v>
          </cell>
          <cell r="F85">
            <v>1.2747229796211106</v>
          </cell>
          <cell r="G85">
            <v>1.6276723274014331</v>
          </cell>
          <cell r="H85">
            <v>2.2641829728314491</v>
          </cell>
        </row>
        <row r="86">
          <cell r="A86" t="str">
            <v>20:Q3</v>
          </cell>
          <cell r="B86">
            <v>3.8137898458376047</v>
          </cell>
          <cell r="C86">
            <v>2.4207105943007492</v>
          </cell>
          <cell r="D86">
            <v>2.0736474248928709</v>
          </cell>
          <cell r="E86">
            <v>1.542563217070567</v>
          </cell>
          <cell r="F86">
            <v>1.1577006065693256</v>
          </cell>
          <cell r="G86">
            <v>1.6219429671745167</v>
          </cell>
          <cell r="H86">
            <v>2.0863294605827023</v>
          </cell>
        </row>
        <row r="87">
          <cell r="A87" t="str">
            <v>20:Q4</v>
          </cell>
          <cell r="B87">
            <v>3.2589497431298549</v>
          </cell>
          <cell r="C87">
            <v>2.1924360733594348</v>
          </cell>
          <cell r="D87">
            <v>1.8272053559981252</v>
          </cell>
          <cell r="E87">
            <v>1.3532986567716678</v>
          </cell>
          <cell r="F87">
            <v>1.0567812988994463</v>
          </cell>
          <cell r="G87">
            <v>1.451190973595395</v>
          </cell>
          <cell r="H87">
            <v>1.8441040574517458</v>
          </cell>
        </row>
        <row r="88">
          <cell r="A88" t="str">
            <v>21:Q1</v>
          </cell>
          <cell r="B88">
            <v>3.0723402369797328</v>
          </cell>
          <cell r="C88">
            <v>2.0276153204968863</v>
          </cell>
          <cell r="D88">
            <v>1.718865721151313</v>
          </cell>
          <cell r="E88">
            <v>1.2346391359964455</v>
          </cell>
          <cell r="F88">
            <v>0.99535348812056468</v>
          </cell>
          <cell r="G88">
            <v>1.3630765735857573</v>
          </cell>
          <cell r="H88">
            <v>1.7198190577410697</v>
          </cell>
        </row>
        <row r="89">
          <cell r="A89" t="str">
            <v>21:Q2</v>
          </cell>
          <cell r="B89">
            <v>2.7732403697913299</v>
          </cell>
          <cell r="C89">
            <v>1.98442982162111</v>
          </cell>
          <cell r="D89">
            <v>1.5761827889444899</v>
          </cell>
          <cell r="E89">
            <v>1.00578393945066</v>
          </cell>
          <cell r="F89">
            <v>1.0708679676400801</v>
          </cell>
          <cell r="G89">
            <v>1.38877951790111</v>
          </cell>
          <cell r="H89">
            <v>1.60714234320228</v>
          </cell>
        </row>
        <row r="90">
          <cell r="A90" t="str">
            <v>21:Q3</v>
          </cell>
          <cell r="B90">
            <v>2.714371037032119</v>
          </cell>
          <cell r="C90">
            <v>1.9934158014659815</v>
          </cell>
          <cell r="D90">
            <v>1.4964158669848133</v>
          </cell>
          <cell r="E90">
            <v>0.89060615435622537</v>
          </cell>
          <cell r="F90">
            <v>1.1535325540518762</v>
          </cell>
          <cell r="G90">
            <v>1.3010864962271</v>
          </cell>
          <cell r="H90">
            <v>1.5662678783603667</v>
          </cell>
        </row>
        <row r="91">
          <cell r="A91" t="str">
            <v>21:Q4</v>
          </cell>
          <cell r="B91">
            <v>2.9836986531989358</v>
          </cell>
          <cell r="C91">
            <v>1.9382586003714377</v>
          </cell>
          <cell r="D91">
            <v>1.3441837068218043</v>
          </cell>
          <cell r="E91">
            <v>0.89701015739928402</v>
          </cell>
          <cell r="F91">
            <v>1.1512846979578664</v>
          </cell>
          <cell r="G91">
            <v>1.2777187735296589</v>
          </cell>
          <cell r="H91">
            <v>1.5565536243732199</v>
          </cell>
        </row>
        <row r="92">
          <cell r="A92" t="str">
            <v>22:Q1</v>
          </cell>
          <cell r="B92">
            <v>2.99</v>
          </cell>
          <cell r="C92">
            <v>2.08</v>
          </cell>
          <cell r="D92">
            <v>1.35</v>
          </cell>
          <cell r="E92">
            <v>0.86</v>
          </cell>
          <cell r="F92">
            <v>1.25</v>
          </cell>
          <cell r="G92">
            <v>1.45</v>
          </cell>
          <cell r="H92">
            <v>1.61</v>
          </cell>
        </row>
        <row r="93">
          <cell r="A93" t="str">
            <v>22:Q2</v>
          </cell>
          <cell r="B93">
            <v>3.5889351432482881</v>
          </cell>
          <cell r="C93">
            <v>2.2980544296421401</v>
          </cell>
          <cell r="D93">
            <v>1.5023908125196235</v>
          </cell>
          <cell r="E93">
            <v>1.10707074380566</v>
          </cell>
          <cell r="F93">
            <v>1.1495727721336315</v>
          </cell>
          <cell r="G93">
            <v>1.4353957837497762</v>
          </cell>
          <cell r="H93">
            <v>1.8101195459449153</v>
          </cell>
        </row>
        <row r="94">
          <cell r="A94" t="str">
            <v>22:Q3</v>
          </cell>
          <cell r="B94">
            <v>4.0428447974783355</v>
          </cell>
          <cell r="C94">
            <v>2.5455663587491606</v>
          </cell>
          <cell r="D94">
            <v>1.743854806080531</v>
          </cell>
          <cell r="E94">
            <v>1.1580958330931024</v>
          </cell>
          <cell r="F94">
            <v>1.1700903731356231</v>
          </cell>
          <cell r="G94">
            <v>1.7177339632788058</v>
          </cell>
          <cell r="H94">
            <v>2.0170869225174184</v>
          </cell>
        </row>
        <row r="95">
          <cell r="A95" t="str">
            <v>22:Q4</v>
          </cell>
          <cell r="B95">
            <v>4.2827477415056014</v>
          </cell>
          <cell r="C95">
            <v>2.9152911610169285</v>
          </cell>
          <cell r="D95">
            <v>1.9800918782492487</v>
          </cell>
          <cell r="E95">
            <v>1.2136148883575943</v>
          </cell>
          <cell r="F95">
            <v>1.2945661017014081</v>
          </cell>
          <cell r="G95">
            <v>1.7205079301818207</v>
          </cell>
          <cell r="H95">
            <v>2.2175773435966324</v>
          </cell>
        </row>
        <row r="96">
          <cell r="A96" t="str">
            <v>23:Q1</v>
          </cell>
          <cell r="B96">
            <v>4.5481889147563139</v>
          </cell>
          <cell r="C96">
            <v>3.0610526931922775</v>
          </cell>
          <cell r="D96">
            <v>2.0698877111755505</v>
          </cell>
          <cell r="E96">
            <v>1.3543886222846719</v>
          </cell>
          <cell r="F96">
            <v>1.1752975874942007</v>
          </cell>
          <cell r="G96">
            <v>1.8081572901954355</v>
          </cell>
          <cell r="H96">
            <v>2.3296774056982374</v>
          </cell>
        </row>
        <row r="97">
          <cell r="A97" t="str">
            <v>23:Q2</v>
          </cell>
          <cell r="B97">
            <v>4.3754331840310527</v>
          </cell>
          <cell r="C97">
            <v>3.3677087707931355</v>
          </cell>
          <cell r="D97">
            <v>2.1119024100832231</v>
          </cell>
          <cell r="E97">
            <v>1.4004468006848534</v>
          </cell>
          <cell r="F97">
            <v>1.2737834782870336</v>
          </cell>
          <cell r="G97">
            <v>1.8051652615610998</v>
          </cell>
          <cell r="H97">
            <v>2.4103101832168008</v>
          </cell>
        </row>
        <row r="98">
          <cell r="A98" t="str">
            <v>23:Q3</v>
          </cell>
          <cell r="B98">
            <v>4.6867063949192733</v>
          </cell>
          <cell r="C98">
            <v>3.5421193048464561</v>
          </cell>
          <cell r="D98">
            <v>2.2010366561950057</v>
          </cell>
          <cell r="E98">
            <v>1.548069163901729</v>
          </cell>
          <cell r="F98">
            <v>1.2350828713842379</v>
          </cell>
          <cell r="G98">
            <v>1.7466471733750384</v>
          </cell>
          <cell r="H98">
            <v>2.5311179157272758</v>
          </cell>
        </row>
        <row r="99">
          <cell r="A99" t="str">
            <v>23:Q4</v>
          </cell>
          <cell r="B99">
            <v>4.7890405660011437</v>
          </cell>
          <cell r="C99">
            <v>3.6057155676155297</v>
          </cell>
          <cell r="D99">
            <v>2.4074911805647061</v>
          </cell>
          <cell r="E99">
            <v>1.6594406103247219</v>
          </cell>
          <cell r="F99">
            <v>1.3935294821903155</v>
          </cell>
          <cell r="G99">
            <v>1.8915622842803279</v>
          </cell>
          <cell r="H99">
            <v>2.6609141192218821</v>
          </cell>
        </row>
        <row r="100">
          <cell r="A100" t="str">
            <v>24:Q1</v>
          </cell>
          <cell r="B100">
            <v>4.9186200439856851</v>
          </cell>
          <cell r="C100">
            <v>3.6690551997582097</v>
          </cell>
          <cell r="D100">
            <v>2.5289571121451413</v>
          </cell>
          <cell r="E100">
            <v>1.8026570196560181</v>
          </cell>
          <cell r="F100">
            <v>1.5651746944788336</v>
          </cell>
          <cell r="G100">
            <v>1.9923029791247326</v>
          </cell>
          <cell r="H100">
            <v>2.7797549525229259</v>
          </cell>
        </row>
        <row r="101">
          <cell r="A101" t="str">
            <v>24:Q2</v>
          </cell>
          <cell r="B101">
            <v>5.0491275732662206</v>
          </cell>
          <cell r="C101">
            <v>3.6161239501127387</v>
          </cell>
          <cell r="D101">
            <v>2.8436210423043207</v>
          </cell>
          <cell r="E101">
            <v>1.748813325244726</v>
          </cell>
          <cell r="F101">
            <v>1.7733507070243877</v>
          </cell>
          <cell r="G101">
            <v>2.1438644759059393</v>
          </cell>
          <cell r="H101">
            <v>2.8833877160956178</v>
          </cell>
        </row>
        <row r="102">
          <cell r="A102" t="str">
            <v>24:Q3</v>
          </cell>
          <cell r="B102">
            <v>4.8634128283517306</v>
          </cell>
          <cell r="C102">
            <v>3.5973040074732614</v>
          </cell>
          <cell r="D102">
            <v>2.8327720605460542</v>
          </cell>
          <cell r="E102">
            <v>1.9353110097269615</v>
          </cell>
          <cell r="F102">
            <v>1.7952656379715766</v>
          </cell>
          <cell r="G102">
            <v>2.2257990641576688</v>
          </cell>
          <cell r="H102">
            <v>2.8992105914002946</v>
          </cell>
        </row>
        <row r="103">
          <cell r="A103" t="str">
            <v>24:Q4</v>
          </cell>
          <cell r="B103">
            <v>4.972333209545881</v>
          </cell>
          <cell r="C103">
            <v>3.7524330529333296</v>
          </cell>
          <cell r="D103">
            <v>2.8641687292089233</v>
          </cell>
          <cell r="E103">
            <v>2.0488802434216993</v>
          </cell>
          <cell r="F103">
            <v>1.6887731056958832</v>
          </cell>
          <cell r="G103">
            <v>2.2175161399748391</v>
          </cell>
          <cell r="H103">
            <v>2.9613280854201425</v>
          </cell>
        </row>
        <row r="104">
          <cell r="A104" t="str">
            <v>25:Q1</v>
          </cell>
          <cell r="B104">
            <v>4.8333338663979442</v>
          </cell>
          <cell r="C104">
            <v>3.8424149019183078</v>
          </cell>
          <cell r="D104">
            <v>2.9405183839484086</v>
          </cell>
          <cell r="E104">
            <v>1.9735297795248825</v>
          </cell>
          <cell r="F104">
            <v>1.6400040134731977</v>
          </cell>
          <cell r="G104">
            <v>1.9747389719120882</v>
          </cell>
          <cell r="H104">
            <v>2.9380078026839009</v>
          </cell>
        </row>
        <row r="105">
          <cell r="A105" t="str">
            <v>25:Q2</v>
          </cell>
          <cell r="B105">
            <v>4.9013552792046324</v>
          </cell>
          <cell r="C105">
            <v>3.9647262169865001</v>
          </cell>
          <cell r="D105">
            <v>2.8135499852088133</v>
          </cell>
          <cell r="E105">
            <v>2.0773269840910968</v>
          </cell>
          <cell r="F105">
            <v>1.4296911373645449</v>
          </cell>
          <cell r="G105">
            <v>2.0030377258707115</v>
          </cell>
          <cell r="H105">
            <v>2.9351957719199286</v>
          </cell>
        </row>
        <row r="106">
          <cell r="A106" t="str">
            <v>25:Q3</v>
          </cell>
          <cell r="B106">
            <v>4.8608104372091043</v>
          </cell>
          <cell r="C106">
            <v>4.1143472051525727</v>
          </cell>
          <cell r="D106">
            <v>2.9118371588959433</v>
          </cell>
          <cell r="E106">
            <v>2.0802119378612294</v>
          </cell>
          <cell r="F106">
            <v>1.5245444530586632</v>
          </cell>
          <cell r="G106">
            <v>1.9470949550037926</v>
          </cell>
          <cell r="H106">
            <v>2.9893445071001823</v>
          </cell>
        </row>
        <row r="107">
          <cell r="A107" t="str">
            <v>25:Q4</v>
          </cell>
          <cell r="B107">
            <v>4.7322833158005935</v>
          </cell>
          <cell r="C107">
            <v>3.9575002615624881</v>
          </cell>
          <cell r="D107">
            <v>2.8036727720992061</v>
          </cell>
          <cell r="E107">
            <v>2.1637840044868857</v>
          </cell>
          <cell r="F107">
            <v>1.5701137065339335</v>
          </cell>
          <cell r="G107">
            <v>2.1483966188288264</v>
          </cell>
          <cell r="H107">
            <v>2.951756407975155</v>
          </cell>
        </row>
        <row r="108">
          <cell r="A108" t="str">
            <v>26:Q1</v>
          </cell>
          <cell r="B108">
            <v>4.8753091003468274</v>
          </cell>
          <cell r="C108">
            <v>3.8904123857054453</v>
          </cell>
          <cell r="D108">
            <v>2.7526147938141876</v>
          </cell>
          <cell r="E108">
            <v>2.16964819146818</v>
          </cell>
          <cell r="F108">
            <v>1.6455534782597969</v>
          </cell>
          <cell r="G108">
            <v>2.3553040273027843</v>
          </cell>
          <cell r="H108">
            <v>2.969746555182716</v>
          </cell>
        </row>
      </sheetData>
      <sheetData sheetId="47" refreshError="1"/>
      <sheetData sheetId="48">
        <row r="1">
          <cell r="A1" t="str">
            <v>Transition into Serious Delinquency (90+) for Credit Cards by Age</v>
          </cell>
        </row>
        <row r="2">
          <cell r="A2" t="str">
            <v>Percent</v>
          </cell>
        </row>
        <row r="3">
          <cell r="B3" t="str">
            <v>18-29</v>
          </cell>
          <cell r="C3" t="str">
            <v>30-39</v>
          </cell>
          <cell r="D3" t="str">
            <v>40-49</v>
          </cell>
          <cell r="E3" t="str">
            <v>50-59</v>
          </cell>
          <cell r="F3" t="str">
            <v>60-69</v>
          </cell>
          <cell r="G3" t="str">
            <v>70+</v>
          </cell>
          <cell r="H3" t="str">
            <v>all</v>
          </cell>
        </row>
        <row r="4">
          <cell r="A4" t="str">
            <v>00:Q1</v>
          </cell>
          <cell r="B4">
            <v>9.6310788492725656</v>
          </cell>
          <cell r="C4">
            <v>6.07939875335701</v>
          </cell>
          <cell r="D4">
            <v>4.6350415362457191</v>
          </cell>
          <cell r="E4">
            <v>4.3899648767552666</v>
          </cell>
          <cell r="F4">
            <v>3.70751393503551</v>
          </cell>
          <cell r="G4">
            <v>5.9446356592593936</v>
          </cell>
          <cell r="H4">
            <v>5.3671568125972309</v>
          </cell>
        </row>
        <row r="5">
          <cell r="A5" t="str">
            <v>00:Q2</v>
          </cell>
          <cell r="B5">
            <v>10.063751280003149</v>
          </cell>
          <cell r="C5">
            <v>6.6575666423183701</v>
          </cell>
          <cell r="D5">
            <v>4.9646643436119966</v>
          </cell>
          <cell r="E5">
            <v>4.2335165757794817</v>
          </cell>
          <cell r="F5">
            <v>3.3959655346158018</v>
          </cell>
          <cell r="G5">
            <v>7.0050720784116685</v>
          </cell>
          <cell r="H5">
            <v>5.6166369356055137</v>
          </cell>
        </row>
        <row r="6">
          <cell r="A6" t="str">
            <v>00:Q3</v>
          </cell>
          <cell r="B6">
            <v>10.550870200675801</v>
          </cell>
          <cell r="C6">
            <v>6.3677698374144445</v>
          </cell>
          <cell r="D6">
            <v>4.7968515696315235</v>
          </cell>
          <cell r="E6">
            <v>4.0106195398568705</v>
          </cell>
          <cell r="F6">
            <v>3.0763811384048672</v>
          </cell>
          <cell r="G6">
            <v>6.3743808361641809</v>
          </cell>
          <cell r="H6">
            <v>5.417267945075678</v>
          </cell>
        </row>
        <row r="7">
          <cell r="A7" t="str">
            <v>00:Q4</v>
          </cell>
          <cell r="B7">
            <v>10.893030833599779</v>
          </cell>
          <cell r="C7">
            <v>6.6711920276161729</v>
          </cell>
          <cell r="D7">
            <v>5.0202539126551393</v>
          </cell>
          <cell r="E7">
            <v>4.0306453759646654</v>
          </cell>
          <cell r="F7">
            <v>3.7005482810637256</v>
          </cell>
          <cell r="G7">
            <v>6.6196322901950415</v>
          </cell>
          <cell r="H7">
            <v>5.6618259834906981</v>
          </cell>
        </row>
        <row r="8">
          <cell r="A8" t="str">
            <v>01:Q1</v>
          </cell>
          <cell r="B8">
            <v>11.592441044354269</v>
          </cell>
          <cell r="C8">
            <v>7.2453411805709464</v>
          </cell>
          <cell r="D8">
            <v>5.3906311894908852</v>
          </cell>
          <cell r="E8">
            <v>4.1522531082747847</v>
          </cell>
          <cell r="F8">
            <v>3.9065794876941617</v>
          </cell>
          <cell r="G8">
            <v>6.957026285552578</v>
          </cell>
          <cell r="H8">
            <v>6.0339841169052999</v>
          </cell>
        </row>
        <row r="9">
          <cell r="A9" t="str">
            <v>01:Q2</v>
          </cell>
          <cell r="B9">
            <v>11.893033749712574</v>
          </cell>
          <cell r="C9">
            <v>7.4631595561008233</v>
          </cell>
          <cell r="D9">
            <v>5.6991043699084543</v>
          </cell>
          <cell r="E9">
            <v>4.4208987188625439</v>
          </cell>
          <cell r="F9">
            <v>3.9954042660191784</v>
          </cell>
          <cell r="G9">
            <v>6.7836479354125956</v>
          </cell>
          <cell r="H9">
            <v>6.248996485840884</v>
          </cell>
        </row>
        <row r="10">
          <cell r="A10" t="str">
            <v>01:Q3</v>
          </cell>
          <cell r="B10">
            <v>12.472955638182501</v>
          </cell>
          <cell r="C10">
            <v>8.1917864010862083</v>
          </cell>
          <cell r="D10">
            <v>6.5607965143976292</v>
          </cell>
          <cell r="E10">
            <v>4.7675086127692961</v>
          </cell>
          <cell r="F10">
            <v>4.5591646932092491</v>
          </cell>
          <cell r="G10">
            <v>6.8272688853322423</v>
          </cell>
          <cell r="H10">
            <v>6.8444902054540986</v>
          </cell>
        </row>
        <row r="11">
          <cell r="A11" t="str">
            <v>01:Q4</v>
          </cell>
          <cell r="B11">
            <v>12.629941985278956</v>
          </cell>
          <cell r="C11">
            <v>8.3347765971646393</v>
          </cell>
          <cell r="D11">
            <v>6.9316694421198717</v>
          </cell>
          <cell r="E11">
            <v>5.1465875306909625</v>
          </cell>
          <cell r="F11">
            <v>4.4497028451269767</v>
          </cell>
          <cell r="G11">
            <v>6.8140756790935146</v>
          </cell>
          <cell r="H11">
            <v>7.0652580626775388</v>
          </cell>
        </row>
        <row r="12">
          <cell r="A12" t="str">
            <v>02:Q1</v>
          </cell>
          <cell r="B12">
            <v>12.866624789396919</v>
          </cell>
          <cell r="C12">
            <v>8.8434281365488854</v>
          </cell>
          <cell r="D12">
            <v>7.4745108347049758</v>
          </cell>
          <cell r="E12">
            <v>5.8592908261489951</v>
          </cell>
          <cell r="F12">
            <v>4.9039181722227481</v>
          </cell>
          <cell r="G12">
            <v>7.2848731630926995</v>
          </cell>
          <cell r="H12">
            <v>7.5808045026094506</v>
          </cell>
        </row>
        <row r="13">
          <cell r="A13" t="str">
            <v>02:Q2</v>
          </cell>
          <cell r="B13">
            <v>13.628262712103368</v>
          </cell>
          <cell r="C13">
            <v>9.0013639181905525</v>
          </cell>
          <cell r="D13">
            <v>7.8678147349045284</v>
          </cell>
          <cell r="E13">
            <v>6.2504532749891357</v>
          </cell>
          <cell r="F13">
            <v>5.4848878729827204</v>
          </cell>
          <cell r="G13">
            <v>6.4506329663286914</v>
          </cell>
          <cell r="H13">
            <v>7.8955371168057438</v>
          </cell>
        </row>
        <row r="14">
          <cell r="A14" t="str">
            <v>02:Q3</v>
          </cell>
          <cell r="B14">
            <v>13.998701895709065</v>
          </cell>
          <cell r="C14">
            <v>9.1978977108589568</v>
          </cell>
          <cell r="D14">
            <v>7.991227378937098</v>
          </cell>
          <cell r="E14">
            <v>6.6734064387236227</v>
          </cell>
          <cell r="F14">
            <v>5.551086409170618</v>
          </cell>
          <cell r="G14">
            <v>7.4017197532285985</v>
          </cell>
          <cell r="H14">
            <v>8.1620448937716468</v>
          </cell>
        </row>
        <row r="15">
          <cell r="A15" t="str">
            <v>02:Q4</v>
          </cell>
          <cell r="B15">
            <v>14.502323834895034</v>
          </cell>
          <cell r="C15">
            <v>9.7485491877270203</v>
          </cell>
          <cell r="D15">
            <v>8.2034312215757232</v>
          </cell>
          <cell r="E15">
            <v>6.7150987990367188</v>
          </cell>
          <cell r="F15">
            <v>5.9933437691643414</v>
          </cell>
          <cell r="G15">
            <v>7.3563022324170353</v>
          </cell>
          <cell r="H15">
            <v>8.4302377352403717</v>
          </cell>
        </row>
        <row r="16">
          <cell r="A16" t="str">
            <v>03:Q1</v>
          </cell>
          <cell r="B16">
            <v>14.411990591721841</v>
          </cell>
          <cell r="C16">
            <v>9.4796076847994755</v>
          </cell>
          <cell r="D16">
            <v>8.0010338181415044</v>
          </cell>
          <cell r="E16">
            <v>6.4725982786975651</v>
          </cell>
          <cell r="F16">
            <v>6.4676064435707339</v>
          </cell>
          <cell r="G16">
            <v>6.9823140866493896</v>
          </cell>
          <cell r="H16">
            <v>8.2716987711536234</v>
          </cell>
        </row>
        <row r="17">
          <cell r="A17" t="str">
            <v>03:Q2</v>
          </cell>
          <cell r="B17">
            <v>13.753033785619037</v>
          </cell>
          <cell r="C17">
            <v>9.7881689259328812</v>
          </cell>
          <cell r="D17">
            <v>8.1418215020043352</v>
          </cell>
          <cell r="E17">
            <v>6.5068226930172663</v>
          </cell>
          <cell r="F17">
            <v>7.0555107314741923</v>
          </cell>
          <cell r="G17">
            <v>7.3953687172682612</v>
          </cell>
          <cell r="H17">
            <v>8.4054541151324411</v>
          </cell>
        </row>
        <row r="18">
          <cell r="A18" t="str">
            <v>03:Q3</v>
          </cell>
          <cell r="B18">
            <v>12.993773321242092</v>
          </cell>
          <cell r="C18">
            <v>9.370243519935487</v>
          </cell>
          <cell r="D18">
            <v>8.0241129283788037</v>
          </cell>
          <cell r="E18">
            <v>6.3438793047931039</v>
          </cell>
          <cell r="F18">
            <v>7.1879092740422204</v>
          </cell>
          <cell r="G18">
            <v>7.2432087471364719</v>
          </cell>
          <cell r="H18">
            <v>8.170863890220474</v>
          </cell>
        </row>
        <row r="19">
          <cell r="A19" t="str">
            <v>03:Q4</v>
          </cell>
          <cell r="B19">
            <v>12.269960917224179</v>
          </cell>
          <cell r="C19">
            <v>9.2763514617809815</v>
          </cell>
          <cell r="D19">
            <v>8.0806887047143512</v>
          </cell>
          <cell r="E19">
            <v>6.304458520623303</v>
          </cell>
          <cell r="F19">
            <v>6.901378266086942</v>
          </cell>
          <cell r="G19">
            <v>7.4956450909468062</v>
          </cell>
          <cell r="H19">
            <v>8.060260499822947</v>
          </cell>
        </row>
        <row r="20">
          <cell r="A20" t="str">
            <v>04:Q1</v>
          </cell>
          <cell r="B20">
            <v>11.438863869572675</v>
          </cell>
          <cell r="C20">
            <v>8.9554051021571333</v>
          </cell>
          <cell r="D20">
            <v>7.8552127497041022</v>
          </cell>
          <cell r="E20">
            <v>6.3938989597337574</v>
          </cell>
          <cell r="F20">
            <v>6.207359387848765</v>
          </cell>
          <cell r="G20">
            <v>7.2542138539184409</v>
          </cell>
          <cell r="H20">
            <v>7.7745351086052779</v>
          </cell>
        </row>
        <row r="21">
          <cell r="A21" t="str">
            <v>04:Q2</v>
          </cell>
          <cell r="B21">
            <v>11.461688076822588</v>
          </cell>
          <cell r="C21">
            <v>8.3718270606126097</v>
          </cell>
          <cell r="D21">
            <v>7.4094164621718281</v>
          </cell>
          <cell r="E21">
            <v>6.0442455589256001</v>
          </cell>
          <cell r="F21">
            <v>5.5802198753785985</v>
          </cell>
          <cell r="G21">
            <v>6.9709098775471823</v>
          </cell>
          <cell r="H21">
            <v>7.3390470189787393</v>
          </cell>
        </row>
        <row r="22">
          <cell r="A22" t="str">
            <v>04:Q3</v>
          </cell>
          <cell r="B22">
            <v>11.298465118869643</v>
          </cell>
          <cell r="C22">
            <v>8.1525506086267256</v>
          </cell>
          <cell r="D22">
            <v>7.1156556346028133</v>
          </cell>
          <cell r="E22">
            <v>5.9507507728070612</v>
          </cell>
          <cell r="F22">
            <v>5.6807571436639428</v>
          </cell>
          <cell r="G22">
            <v>6.4147379527190571</v>
          </cell>
          <cell r="H22">
            <v>7.1376071974567772</v>
          </cell>
        </row>
        <row r="23">
          <cell r="A23" t="str">
            <v>04:Q4</v>
          </cell>
          <cell r="B23">
            <v>11.606894937414088</v>
          </cell>
          <cell r="C23">
            <v>8.1361507962062785</v>
          </cell>
          <cell r="D23">
            <v>6.8669979537472763</v>
          </cell>
          <cell r="E23">
            <v>5.8065756659901258</v>
          </cell>
          <cell r="F23">
            <v>5.5882782468188319</v>
          </cell>
          <cell r="G23">
            <v>5.9934180485702191</v>
          </cell>
          <cell r="H23">
            <v>7.0027756596416326</v>
          </cell>
        </row>
        <row r="24">
          <cell r="A24" t="str">
            <v>05:Q1</v>
          </cell>
          <cell r="B24">
            <v>11.489174080926547</v>
          </cell>
          <cell r="C24">
            <v>7.8116392163573396</v>
          </cell>
          <cell r="D24">
            <v>6.6149074897424303</v>
          </cell>
          <cell r="E24">
            <v>5.115401886108657</v>
          </cell>
          <cell r="F24">
            <v>5.0606261206257726</v>
          </cell>
          <cell r="G24">
            <v>6.3848755967517299</v>
          </cell>
          <cell r="H24">
            <v>6.6430273375998299</v>
          </cell>
        </row>
        <row r="25">
          <cell r="A25" t="str">
            <v>05:Q2</v>
          </cell>
          <cell r="B25">
            <v>11.264065113160388</v>
          </cell>
          <cell r="C25">
            <v>7.2374659530794059</v>
          </cell>
          <cell r="D25">
            <v>6.2687445192268836</v>
          </cell>
          <cell r="E25">
            <v>4.9467781076967494</v>
          </cell>
          <cell r="F25">
            <v>5.1048038209805693</v>
          </cell>
          <cell r="G25">
            <v>6.2028536409767296</v>
          </cell>
          <cell r="H25">
            <v>6.3627691940772921</v>
          </cell>
        </row>
        <row r="26">
          <cell r="A26" t="str">
            <v>05:Q3</v>
          </cell>
          <cell r="B26">
            <v>11.374051522024075</v>
          </cell>
          <cell r="C26">
            <v>7.3704800083973119</v>
          </cell>
          <cell r="D26">
            <v>5.9785879600213701</v>
          </cell>
          <cell r="E26">
            <v>4.8423758150366769</v>
          </cell>
          <cell r="F26">
            <v>5.0212671895841732</v>
          </cell>
          <cell r="G26">
            <v>6.2982659056785639</v>
          </cell>
          <cell r="H26">
            <v>6.2741187029657075</v>
          </cell>
        </row>
        <row r="27">
          <cell r="A27" t="str">
            <v>05:Q4</v>
          </cell>
          <cell r="B27">
            <v>10.128281972269368</v>
          </cell>
          <cell r="C27">
            <v>6.780751032734833</v>
          </cell>
          <cell r="D27">
            <v>5.5263140193131646</v>
          </cell>
          <cell r="E27">
            <v>4.3358276953682884</v>
          </cell>
          <cell r="F27">
            <v>4.8686081243202795</v>
          </cell>
          <cell r="G27">
            <v>6.5062115502814768</v>
          </cell>
          <cell r="H27">
            <v>5.7914034179202467</v>
          </cell>
        </row>
        <row r="28">
          <cell r="A28" t="str">
            <v>06:Q1</v>
          </cell>
          <cell r="B28">
            <v>9.7890337118830413</v>
          </cell>
          <cell r="C28">
            <v>6.4617874577735908</v>
          </cell>
          <cell r="D28">
            <v>5.2203102489837399</v>
          </cell>
          <cell r="E28">
            <v>3.9854391326687382</v>
          </cell>
          <cell r="F28">
            <v>4.9306172423014889</v>
          </cell>
          <cell r="G28">
            <v>6.2635899107791797</v>
          </cell>
          <cell r="H28">
            <v>5.5120998441751548</v>
          </cell>
        </row>
        <row r="29">
          <cell r="A29" t="str">
            <v>06:Q2</v>
          </cell>
          <cell r="B29">
            <v>9.8063676956125612</v>
          </cell>
          <cell r="C29">
            <v>6.6608902685102445</v>
          </cell>
          <cell r="D29">
            <v>5.238138071847211</v>
          </cell>
          <cell r="E29">
            <v>4.1285049424100668</v>
          </cell>
          <cell r="F29">
            <v>4.7021477606624291</v>
          </cell>
          <cell r="G29">
            <v>6.9712782138098479</v>
          </cell>
          <cell r="H29">
            <v>5.6099285587835741</v>
          </cell>
        </row>
        <row r="30">
          <cell r="A30" t="str">
            <v>06:Q3</v>
          </cell>
          <cell r="B30">
            <v>9.8384941982609107</v>
          </cell>
          <cell r="C30">
            <v>6.517526968668891</v>
          </cell>
          <cell r="D30">
            <v>5.386757690391641</v>
          </cell>
          <cell r="E30">
            <v>4.2397821958395596</v>
          </cell>
          <cell r="F30">
            <v>4.1861466023064207</v>
          </cell>
          <cell r="G30">
            <v>7.0843891838325526</v>
          </cell>
          <cell r="H30">
            <v>5.5942246379627321</v>
          </cell>
        </row>
        <row r="31">
          <cell r="A31" t="str">
            <v>06:Q4</v>
          </cell>
          <cell r="B31">
            <v>10.471415317951829</v>
          </cell>
          <cell r="C31">
            <v>6.7113281388397033</v>
          </cell>
          <cell r="D31">
            <v>5.7453313222782381</v>
          </cell>
          <cell r="E31">
            <v>4.6289811949321438</v>
          </cell>
          <cell r="F31">
            <v>3.898681427154739</v>
          </cell>
          <cell r="G31">
            <v>6.9298581596770257</v>
          </cell>
          <cell r="H31">
            <v>5.8305616706376444</v>
          </cell>
        </row>
        <row r="32">
          <cell r="A32" t="str">
            <v>07:Q1</v>
          </cell>
          <cell r="B32">
            <v>10.591587142350715</v>
          </cell>
          <cell r="C32">
            <v>6.9937829550506914</v>
          </cell>
          <cell r="D32">
            <v>6.1265675302892948</v>
          </cell>
          <cell r="E32">
            <v>5.2042793457669019</v>
          </cell>
          <cell r="F32">
            <v>4.1091359150159645</v>
          </cell>
          <cell r="G32">
            <v>7.0426331438966221</v>
          </cell>
          <cell r="H32">
            <v>6.1799344919184902</v>
          </cell>
        </row>
        <row r="33">
          <cell r="A33" t="str">
            <v>07:Q2</v>
          </cell>
          <cell r="B33">
            <v>10.434443211456641</v>
          </cell>
          <cell r="C33">
            <v>7.4853049282326429</v>
          </cell>
          <cell r="D33">
            <v>6.6472700720689923</v>
          </cell>
          <cell r="E33">
            <v>5.1636336217957979</v>
          </cell>
          <cell r="F33">
            <v>3.9646233932031643</v>
          </cell>
          <cell r="G33">
            <v>7.007689030223851</v>
          </cell>
          <cell r="H33">
            <v>6.3615046184357844</v>
          </cell>
        </row>
        <row r="34">
          <cell r="A34" t="str">
            <v>07:Q3</v>
          </cell>
          <cell r="B34">
            <v>10.943703587657382</v>
          </cell>
          <cell r="C34">
            <v>8.1878879988123181</v>
          </cell>
          <cell r="D34">
            <v>6.7546223476366167</v>
          </cell>
          <cell r="E34">
            <v>4.9993123165406281</v>
          </cell>
          <cell r="F34">
            <v>4.1749049854159228</v>
          </cell>
          <cell r="G34">
            <v>6.8417079359898807</v>
          </cell>
          <cell r="H34">
            <v>6.5255613421893806</v>
          </cell>
        </row>
        <row r="35">
          <cell r="A35" t="str">
            <v>07:Q4</v>
          </cell>
          <cell r="B35">
            <v>11.929464676436059</v>
          </cell>
          <cell r="C35">
            <v>8.7907637063800745</v>
          </cell>
          <cell r="D35">
            <v>6.6287218276842284</v>
          </cell>
          <cell r="E35">
            <v>5.082777453251297</v>
          </cell>
          <cell r="F35">
            <v>4.5519513700082141</v>
          </cell>
          <cell r="G35">
            <v>6.8081398988951545</v>
          </cell>
          <cell r="H35">
            <v>6.7460834402127992</v>
          </cell>
        </row>
        <row r="36">
          <cell r="A36" t="str">
            <v>08:Q1</v>
          </cell>
          <cell r="B36">
            <v>12.941700307898785</v>
          </cell>
          <cell r="C36">
            <v>9.526263029616727</v>
          </cell>
          <cell r="D36">
            <v>7.4399635965711752</v>
          </cell>
          <cell r="E36">
            <v>5.3445394403096955</v>
          </cell>
          <cell r="F36">
            <v>4.7333118352896371</v>
          </cell>
          <cell r="G36">
            <v>6.6894461721384513</v>
          </cell>
          <cell r="H36">
            <v>7.2674507761417564</v>
          </cell>
        </row>
        <row r="37">
          <cell r="A37" t="str">
            <v>08:Q2</v>
          </cell>
          <cell r="B37">
            <v>13.555626184616077</v>
          </cell>
          <cell r="C37">
            <v>10.14561359065039</v>
          </cell>
          <cell r="D37">
            <v>7.598346316746821</v>
          </cell>
          <cell r="E37">
            <v>5.7727050761025689</v>
          </cell>
          <cell r="F37">
            <v>5.3291575410141752</v>
          </cell>
          <cell r="G37">
            <v>6.7142243834954805</v>
          </cell>
          <cell r="H37">
            <v>7.6628054053780241</v>
          </cell>
        </row>
        <row r="38">
          <cell r="A38" t="str">
            <v>08:Q3</v>
          </cell>
          <cell r="B38">
            <v>13.961746494501167</v>
          </cell>
          <cell r="C38">
            <v>10.198479423574408</v>
          </cell>
          <cell r="D38">
            <v>8.0524325063192226</v>
          </cell>
          <cell r="E38">
            <v>6.5626531943821398</v>
          </cell>
          <cell r="F38">
            <v>5.9735542642857551</v>
          </cell>
          <cell r="G38">
            <v>6.9389807466341953</v>
          </cell>
          <cell r="H38">
            <v>8.130199784439796</v>
          </cell>
        </row>
        <row r="39">
          <cell r="A39" t="str">
            <v>08:Q4</v>
          </cell>
          <cell r="B39">
            <v>13.718713640940933</v>
          </cell>
          <cell r="C39">
            <v>10.644123645472385</v>
          </cell>
          <cell r="D39">
            <v>8.9886221336853218</v>
          </cell>
          <cell r="E39">
            <v>7.1927160233485345</v>
          </cell>
          <cell r="F39">
            <v>6.5891301218095029</v>
          </cell>
          <cell r="G39">
            <v>7.2618911535807111</v>
          </cell>
          <cell r="H39">
            <v>8.7050323455704071</v>
          </cell>
        </row>
        <row r="40">
          <cell r="A40" t="str">
            <v>09:Q1</v>
          </cell>
          <cell r="B40">
            <v>13.68489240401728</v>
          </cell>
          <cell r="C40">
            <v>11.625085149567802</v>
          </cell>
          <cell r="D40">
            <v>9.7274950336951402</v>
          </cell>
          <cell r="E40">
            <v>8.476049476227308</v>
          </cell>
          <cell r="F40">
            <v>7.0138131941435828</v>
          </cell>
          <cell r="G40">
            <v>8.7481012083490253</v>
          </cell>
          <cell r="H40">
            <v>9.5605054731420385</v>
          </cell>
        </row>
        <row r="41">
          <cell r="A41" t="str">
            <v>09:Q2</v>
          </cell>
          <cell r="B41">
            <v>13.761191515747617</v>
          </cell>
          <cell r="C41">
            <v>12.152532972009668</v>
          </cell>
          <cell r="D41">
            <v>10.813616225750659</v>
          </cell>
          <cell r="E41">
            <v>9.1803537174800418</v>
          </cell>
          <cell r="F41">
            <v>7.297452973776239</v>
          </cell>
          <cell r="G41">
            <v>9.2560343517359929</v>
          </cell>
          <cell r="H41">
            <v>10.195957081581691</v>
          </cell>
        </row>
        <row r="42">
          <cell r="A42" t="str">
            <v>09:Q3</v>
          </cell>
          <cell r="B42">
            <v>12.881523700660058</v>
          </cell>
          <cell r="C42">
            <v>12.91112812830141</v>
          </cell>
          <cell r="D42">
            <v>11.391919973285175</v>
          </cell>
          <cell r="E42">
            <v>9.4889549883802289</v>
          </cell>
          <cell r="F42">
            <v>7.4233617795040203</v>
          </cell>
          <cell r="G42">
            <v>9.3287745169992036</v>
          </cell>
          <cell r="H42">
            <v>10.507490634683595</v>
          </cell>
        </row>
        <row r="43">
          <cell r="A43" t="str">
            <v>09:Q4</v>
          </cell>
          <cell r="B43">
            <v>13.01852727624494</v>
          </cell>
          <cell r="C43">
            <v>13.235579683672816</v>
          </cell>
          <cell r="D43">
            <v>12.213118282585016</v>
          </cell>
          <cell r="E43">
            <v>9.9280342834690103</v>
          </cell>
          <cell r="F43">
            <v>7.6931376691285234</v>
          </cell>
          <cell r="G43">
            <v>9.7123396405147933</v>
          </cell>
          <cell r="H43">
            <v>10.957123664055146</v>
          </cell>
        </row>
        <row r="44">
          <cell r="A44" t="str">
            <v>10:Q1</v>
          </cell>
          <cell r="B44">
            <v>12.297467871229021</v>
          </cell>
          <cell r="C44">
            <v>12.802480016340207</v>
          </cell>
          <cell r="D44">
            <v>12.357383706431033</v>
          </cell>
          <cell r="E44">
            <v>9.6430025757209137</v>
          </cell>
          <cell r="F44">
            <v>8.2781179936631641</v>
          </cell>
          <cell r="G44">
            <v>8.7764229628528323</v>
          </cell>
          <cell r="H44">
            <v>10.800646557340688</v>
          </cell>
        </row>
        <row r="45">
          <cell r="A45" t="str">
            <v>10:Q2</v>
          </cell>
          <cell r="B45">
            <v>11.359978595051468</v>
          </cell>
          <cell r="C45">
            <v>12.207852834069111</v>
          </cell>
          <cell r="D45">
            <v>12.00733562972774</v>
          </cell>
          <cell r="E45">
            <v>9.8772296751755952</v>
          </cell>
          <cell r="F45">
            <v>8.5463151430484352</v>
          </cell>
          <cell r="G45">
            <v>8.6401364990085003</v>
          </cell>
          <cell r="H45">
            <v>10.634233398741824</v>
          </cell>
        </row>
        <row r="46">
          <cell r="A46" t="str">
            <v>10:Q3</v>
          </cell>
          <cell r="B46">
            <v>11.068918815949413</v>
          </cell>
          <cell r="C46">
            <v>11.136475199306897</v>
          </cell>
          <cell r="D46">
            <v>11.630374845414014</v>
          </cell>
          <cell r="E46">
            <v>9.4224055290919093</v>
          </cell>
          <cell r="F46">
            <v>8.715428869434783</v>
          </cell>
          <cell r="G46">
            <v>8.7198384016123764</v>
          </cell>
          <cell r="H46">
            <v>10.231101223469086</v>
          </cell>
        </row>
        <row r="47">
          <cell r="A47" t="str">
            <v>10:Q4</v>
          </cell>
          <cell r="B47">
            <v>9.4372397355377302</v>
          </cell>
          <cell r="C47">
            <v>10.45886473645781</v>
          </cell>
          <cell r="D47">
            <v>9.9491983545093721</v>
          </cell>
          <cell r="E47">
            <v>8.5393298842355634</v>
          </cell>
          <cell r="F47">
            <v>8.1707793967228266</v>
          </cell>
          <cell r="G47">
            <v>8.3477719723354475</v>
          </cell>
          <cell r="H47">
            <v>9.2052622122152119</v>
          </cell>
        </row>
        <row r="48">
          <cell r="A48" t="str">
            <v>11:Q1</v>
          </cell>
          <cell r="B48">
            <v>8.2859393690418148</v>
          </cell>
          <cell r="C48">
            <v>8.9910976956945312</v>
          </cell>
          <cell r="D48">
            <v>8.4178572964006388</v>
          </cell>
          <cell r="E48">
            <v>7.4240249674486645</v>
          </cell>
          <cell r="F48">
            <v>7.1437983339083768</v>
          </cell>
          <cell r="G48">
            <v>7.9996008075627207</v>
          </cell>
          <cell r="H48">
            <v>7.9892549926383021</v>
          </cell>
        </row>
        <row r="49">
          <cell r="A49" t="str">
            <v>11:Q2</v>
          </cell>
          <cell r="B49">
            <v>7.6519365346391144</v>
          </cell>
          <cell r="C49">
            <v>7.9172145473474549</v>
          </cell>
          <cell r="D49">
            <v>6.9897216346966768</v>
          </cell>
          <cell r="E49">
            <v>6.2451476811538793</v>
          </cell>
          <cell r="F49">
            <v>6.4689370115295883</v>
          </cell>
          <cell r="G49">
            <v>7.1320954438233288</v>
          </cell>
          <cell r="H49">
            <v>6.9045262142904713</v>
          </cell>
        </row>
        <row r="50">
          <cell r="A50" t="str">
            <v>11:Q3</v>
          </cell>
          <cell r="B50">
            <v>6.5920128440870833</v>
          </cell>
          <cell r="C50">
            <v>7.2015548311609985</v>
          </cell>
          <cell r="D50">
            <v>6.2941693300051673</v>
          </cell>
          <cell r="E50">
            <v>5.7450519151424029</v>
          </cell>
          <cell r="F50">
            <v>5.8464507226813254</v>
          </cell>
          <cell r="G50">
            <v>6.6291156607147848</v>
          </cell>
          <cell r="H50">
            <v>6.2614382321733153</v>
          </cell>
        </row>
        <row r="51">
          <cell r="A51" t="str">
            <v>11:Q4</v>
          </cell>
          <cell r="B51">
            <v>6.3286928621570846</v>
          </cell>
          <cell r="C51">
            <v>5.9141584891690311</v>
          </cell>
          <cell r="D51">
            <v>6.3735226808566008</v>
          </cell>
          <cell r="E51">
            <v>5.5499506632099065</v>
          </cell>
          <cell r="F51">
            <v>5.5282357712593893</v>
          </cell>
          <cell r="G51">
            <v>5.7960919543343064</v>
          </cell>
          <cell r="H51">
            <v>5.8704219056994633</v>
          </cell>
        </row>
        <row r="52">
          <cell r="A52" t="str">
            <v>12:Q1</v>
          </cell>
          <cell r="B52">
            <v>6.113420466776911</v>
          </cell>
          <cell r="C52">
            <v>5.5855638242373455</v>
          </cell>
          <cell r="D52">
            <v>5.7687560660901287</v>
          </cell>
          <cell r="E52">
            <v>4.9809002680810028</v>
          </cell>
          <cell r="F52">
            <v>5.1722169959233542</v>
          </cell>
          <cell r="G52">
            <v>5.4660528327940643</v>
          </cell>
          <cell r="H52">
            <v>5.4110636064352144</v>
          </cell>
        </row>
        <row r="53">
          <cell r="A53" t="str">
            <v>12:Q2</v>
          </cell>
          <cell r="B53">
            <v>5.8676355874865376</v>
          </cell>
          <cell r="C53">
            <v>5.6379407799138761</v>
          </cell>
          <cell r="D53">
            <v>5.5388014913490196</v>
          </cell>
          <cell r="E53">
            <v>4.7402693810715038</v>
          </cell>
          <cell r="F53">
            <v>4.7086315251325939</v>
          </cell>
          <cell r="G53">
            <v>5.3792782869497522</v>
          </cell>
          <cell r="H53">
            <v>5.1919065482252256</v>
          </cell>
        </row>
        <row r="54">
          <cell r="A54" t="str">
            <v>12:Q3</v>
          </cell>
          <cell r="B54">
            <v>6.0726354136097811</v>
          </cell>
          <cell r="C54">
            <v>5.4411002916615585</v>
          </cell>
          <cell r="D54">
            <v>4.9133022431369824</v>
          </cell>
          <cell r="E54">
            <v>4.2731595154768858</v>
          </cell>
          <cell r="F54">
            <v>4.451024809519641</v>
          </cell>
          <cell r="G54">
            <v>5.5082265871626745</v>
          </cell>
          <cell r="H54">
            <v>4.853946950210049</v>
          </cell>
        </row>
        <row r="55">
          <cell r="A55" t="str">
            <v>12:Q4</v>
          </cell>
          <cell r="B55">
            <v>6.3211826819113863</v>
          </cell>
          <cell r="C55">
            <v>5.210259575936222</v>
          </cell>
          <cell r="D55">
            <v>4.3843190973909349</v>
          </cell>
          <cell r="E55">
            <v>3.8416452320720271</v>
          </cell>
          <cell r="F55">
            <v>3.946819568672888</v>
          </cell>
          <cell r="G55">
            <v>5.7425023566816797</v>
          </cell>
          <cell r="H55">
            <v>4.5084711605099574</v>
          </cell>
        </row>
        <row r="56">
          <cell r="A56" t="str">
            <v>13:Q1</v>
          </cell>
          <cell r="B56">
            <v>6.3249485276221842</v>
          </cell>
          <cell r="C56">
            <v>5.2412869223623471</v>
          </cell>
          <cell r="D56">
            <v>4.2874583720468111</v>
          </cell>
          <cell r="E56">
            <v>3.9712828894010954</v>
          </cell>
          <cell r="F56">
            <v>3.5535562775758001</v>
          </cell>
          <cell r="G56">
            <v>5.2851312637743364</v>
          </cell>
          <cell r="H56">
            <v>4.4135600581921652</v>
          </cell>
        </row>
        <row r="57">
          <cell r="A57" t="str">
            <v>13:Q2</v>
          </cell>
          <cell r="B57">
            <v>6.2081851520915246</v>
          </cell>
          <cell r="C57">
            <v>4.7531418701678056</v>
          </cell>
          <cell r="D57">
            <v>4.3391479782323303</v>
          </cell>
          <cell r="E57">
            <v>3.8215864182572834</v>
          </cell>
          <cell r="F57">
            <v>3.4710519150503232</v>
          </cell>
          <cell r="G57">
            <v>5.2262536080107083</v>
          </cell>
          <cell r="H57">
            <v>4.2822145227736534</v>
          </cell>
        </row>
        <row r="58">
          <cell r="A58" t="str">
            <v>13:Q3</v>
          </cell>
          <cell r="B58">
            <v>5.6785713975254799</v>
          </cell>
          <cell r="C58">
            <v>4.4951628523418421</v>
          </cell>
          <cell r="D58">
            <v>4.2881792894481965</v>
          </cell>
          <cell r="E58">
            <v>3.6500495228166887</v>
          </cell>
          <cell r="F58">
            <v>3.0033808308063485</v>
          </cell>
          <cell r="G58">
            <v>4.8108050533005988</v>
          </cell>
          <cell r="H58">
            <v>4.0295090249080046</v>
          </cell>
        </row>
        <row r="59">
          <cell r="A59" t="str">
            <v>13:Q4</v>
          </cell>
          <cell r="B59">
            <v>5.3742678087739488</v>
          </cell>
          <cell r="C59">
            <v>4.5919415082012582</v>
          </cell>
          <cell r="D59">
            <v>4.118776377845812</v>
          </cell>
          <cell r="E59">
            <v>3.7186189242614769</v>
          </cell>
          <cell r="F59">
            <v>2.7555042279880531</v>
          </cell>
          <cell r="G59">
            <v>4.28325762846986</v>
          </cell>
          <cell r="H59">
            <v>3.909489890147221</v>
          </cell>
        </row>
        <row r="60">
          <cell r="A60" t="str">
            <v>14:Q1</v>
          </cell>
          <cell r="B60">
            <v>5.590446633667745</v>
          </cell>
          <cell r="C60">
            <v>4.5337620725836771</v>
          </cell>
          <cell r="D60">
            <v>3.9909343976802516</v>
          </cell>
          <cell r="E60">
            <v>3.7592136671213998</v>
          </cell>
          <cell r="F60">
            <v>2.606579969483541</v>
          </cell>
          <cell r="G60">
            <v>4.3532501578325018</v>
          </cell>
          <cell r="H60">
            <v>3.8697390892719388</v>
          </cell>
        </row>
        <row r="61">
          <cell r="A61" t="str">
            <v>14:Q2</v>
          </cell>
          <cell r="B61">
            <v>5.6082166227787358</v>
          </cell>
          <cell r="C61">
            <v>4.6076887052966216</v>
          </cell>
          <cell r="D61">
            <v>3.8562072874629454</v>
          </cell>
          <cell r="E61">
            <v>3.6184440813362384</v>
          </cell>
          <cell r="F61">
            <v>2.3774000581089587</v>
          </cell>
          <cell r="G61">
            <v>4.0808464157226334</v>
          </cell>
          <cell r="H61">
            <v>3.7385859229769123</v>
          </cell>
        </row>
        <row r="62">
          <cell r="A62" t="str">
            <v>14:Q3</v>
          </cell>
          <cell r="B62">
            <v>6.0716950040973385</v>
          </cell>
          <cell r="C62">
            <v>4.6648804118902625</v>
          </cell>
          <cell r="D62">
            <v>3.9894740277500658</v>
          </cell>
          <cell r="E62">
            <v>3.8226977289232189</v>
          </cell>
          <cell r="F62">
            <v>2.3824963159501875</v>
          </cell>
          <cell r="G62">
            <v>4.0137999474397956</v>
          </cell>
          <cell r="H62">
            <v>3.8498219489331271</v>
          </cell>
        </row>
        <row r="63">
          <cell r="A63" t="str">
            <v>14:Q4</v>
          </cell>
          <cell r="B63">
            <v>6.2592408102729884</v>
          </cell>
          <cell r="C63">
            <v>4.8320014689244921</v>
          </cell>
          <cell r="D63">
            <v>3.893036269961228</v>
          </cell>
          <cell r="E63">
            <v>3.8061771783953162</v>
          </cell>
          <cell r="F63">
            <v>2.6574814749359268</v>
          </cell>
          <cell r="G63">
            <v>4.1046532239105966</v>
          </cell>
          <cell r="H63">
            <v>3.9196162681336308</v>
          </cell>
        </row>
        <row r="64">
          <cell r="A64" t="str">
            <v>15:Q1</v>
          </cell>
          <cell r="B64">
            <v>6.0321895695021581</v>
          </cell>
          <cell r="C64">
            <v>4.721393621290467</v>
          </cell>
          <cell r="D64">
            <v>3.7091807559246277</v>
          </cell>
          <cell r="E64">
            <v>3.5133106277138308</v>
          </cell>
          <cell r="F64">
            <v>2.8139697172916924</v>
          </cell>
          <cell r="G64">
            <v>3.6780201138184365</v>
          </cell>
          <cell r="H64">
            <v>3.7580196443307332</v>
          </cell>
        </row>
        <row r="65">
          <cell r="A65" t="str">
            <v>15:Q2</v>
          </cell>
          <cell r="B65">
            <v>6.5430025833812522</v>
          </cell>
          <cell r="C65">
            <v>4.7001654634088972</v>
          </cell>
          <cell r="D65">
            <v>3.6644467633139963</v>
          </cell>
          <cell r="E65">
            <v>3.5103493783936996</v>
          </cell>
          <cell r="F65">
            <v>3.0412333053057021</v>
          </cell>
          <cell r="G65">
            <v>3.5885493513047919</v>
          </cell>
          <cell r="H65">
            <v>3.8042466590455239</v>
          </cell>
        </row>
        <row r="66">
          <cell r="A66" t="str">
            <v>15:Q3</v>
          </cell>
          <cell r="B66">
            <v>6.5348195436157042</v>
          </cell>
          <cell r="C66">
            <v>4.8512471542714524</v>
          </cell>
          <cell r="D66">
            <v>3.7805119262212652</v>
          </cell>
          <cell r="E66">
            <v>3.423829918390827</v>
          </cell>
          <cell r="F66">
            <v>3.1548899437436067</v>
          </cell>
          <cell r="G66">
            <v>3.5405584911834058</v>
          </cell>
          <cell r="H66">
            <v>3.849919582023055</v>
          </cell>
        </row>
        <row r="67">
          <cell r="A67" t="str">
            <v>15:Q4</v>
          </cell>
          <cell r="B67">
            <v>6.6786493335396049</v>
          </cell>
          <cell r="C67">
            <v>4.5996581500474338</v>
          </cell>
          <cell r="D67">
            <v>3.8708082974859406</v>
          </cell>
          <cell r="E67">
            <v>3.1124583984595242</v>
          </cell>
          <cell r="F67">
            <v>2.966417388283356</v>
          </cell>
          <cell r="G67">
            <v>3.4603332214271294</v>
          </cell>
          <cell r="H67">
            <v>3.7160865713784226</v>
          </cell>
        </row>
        <row r="68">
          <cell r="A68" t="str">
            <v>16:Q1</v>
          </cell>
          <cell r="B68">
            <v>6.9304265590543297</v>
          </cell>
          <cell r="C68">
            <v>4.7679282343036702</v>
          </cell>
          <cell r="D68">
            <v>3.944905456397136</v>
          </cell>
          <cell r="E68">
            <v>2.9973073066001223</v>
          </cell>
          <cell r="F68">
            <v>2.7091870224528138</v>
          </cell>
          <cell r="G68">
            <v>3.4106561747327473</v>
          </cell>
          <cell r="H68">
            <v>3.6933142292412153</v>
          </cell>
        </row>
        <row r="69">
          <cell r="A69" t="str">
            <v>16:Q2</v>
          </cell>
          <cell r="B69">
            <v>6.6301657292548732</v>
          </cell>
          <cell r="C69">
            <v>4.9277813452633188</v>
          </cell>
          <cell r="D69">
            <v>3.9378729576762224</v>
          </cell>
          <cell r="E69">
            <v>2.7097207617492707</v>
          </cell>
          <cell r="F69">
            <v>2.279796968062759</v>
          </cell>
          <cell r="G69">
            <v>3.1142636197412075</v>
          </cell>
          <cell r="H69">
            <v>3.5108394512420684</v>
          </cell>
        </row>
        <row r="70">
          <cell r="A70" t="str">
            <v>16:Q3</v>
          </cell>
          <cell r="B70">
            <v>6.8799784299648588</v>
          </cell>
          <cell r="C70">
            <v>4.9398306875927664</v>
          </cell>
          <cell r="D70">
            <v>3.743729907743699</v>
          </cell>
          <cell r="E70">
            <v>2.7998723766342981</v>
          </cell>
          <cell r="F70">
            <v>2.3464616699684164</v>
          </cell>
          <cell r="G70">
            <v>2.9692932143383111</v>
          </cell>
          <cell r="H70">
            <v>3.5086273041604441</v>
          </cell>
        </row>
        <row r="71">
          <cell r="A71" t="str">
            <v>16:Q4</v>
          </cell>
          <cell r="B71">
            <v>7.330180295823328</v>
          </cell>
          <cell r="C71">
            <v>5.1365707362526587</v>
          </cell>
          <cell r="D71">
            <v>3.9604048453991694</v>
          </cell>
          <cell r="E71">
            <v>2.9149359158507862</v>
          </cell>
          <cell r="F71">
            <v>2.5063219203026006</v>
          </cell>
          <cell r="G71">
            <v>3.2001426384692251</v>
          </cell>
          <cell r="H71">
            <v>3.7079504734002011</v>
          </cell>
        </row>
        <row r="72">
          <cell r="A72" t="str">
            <v>17:Q1</v>
          </cell>
          <cell r="B72">
            <v>7.5290213509425916</v>
          </cell>
          <cell r="C72">
            <v>5.2042192764683701</v>
          </cell>
          <cell r="D72">
            <v>4.4819605510437306</v>
          </cell>
          <cell r="E72">
            <v>3.3274530892271099</v>
          </cell>
          <cell r="F72">
            <v>2.9061186240947658</v>
          </cell>
          <cell r="G72">
            <v>3.6216227163703123</v>
          </cell>
          <cell r="H72">
            <v>4.0766013905164797</v>
          </cell>
        </row>
        <row r="73">
          <cell r="A73" t="str">
            <v>17:Q2</v>
          </cell>
          <cell r="B73">
            <v>7.8493392692225745</v>
          </cell>
          <cell r="C73">
            <v>5.5339629616337414</v>
          </cell>
          <cell r="D73">
            <v>4.7023761213669246</v>
          </cell>
          <cell r="E73">
            <v>3.6298087032570785</v>
          </cell>
          <cell r="F73">
            <v>3.3481529806907862</v>
          </cell>
          <cell r="G73">
            <v>4.0956381312036285</v>
          </cell>
          <cell r="H73">
            <v>4.4222541318811137</v>
          </cell>
        </row>
        <row r="74">
          <cell r="A74" t="str">
            <v>17:Q3</v>
          </cell>
          <cell r="B74">
            <v>7.7001651561313915</v>
          </cell>
          <cell r="C74">
            <v>5.8302454094849034</v>
          </cell>
          <cell r="D74">
            <v>5.1204926184307897</v>
          </cell>
          <cell r="E74">
            <v>3.7053394480903097</v>
          </cell>
          <cell r="F74">
            <v>3.2368144512379065</v>
          </cell>
          <cell r="G74">
            <v>4.4744184960260887</v>
          </cell>
          <cell r="H74">
            <v>4.603493931352487</v>
          </cell>
        </row>
        <row r="75">
          <cell r="A75" t="str">
            <v>17:Q4</v>
          </cell>
          <cell r="B75">
            <v>7.2615766493767735</v>
          </cell>
          <cell r="C75">
            <v>6.1258560080779363</v>
          </cell>
          <cell r="D75">
            <v>5.2857979822414549</v>
          </cell>
          <cell r="E75">
            <v>3.8285359431582995</v>
          </cell>
          <cell r="F75">
            <v>3.0526928937830151</v>
          </cell>
          <cell r="G75">
            <v>4.2689437375301997</v>
          </cell>
          <cell r="H75">
            <v>4.6435580968008328</v>
          </cell>
        </row>
        <row r="76">
          <cell r="A76" t="str">
            <v>18:Q1</v>
          </cell>
          <cell r="B76">
            <v>7.3377252358269596</v>
          </cell>
          <cell r="C76">
            <v>6.3742764118381467</v>
          </cell>
          <cell r="D76">
            <v>5.3073652327188565</v>
          </cell>
          <cell r="E76">
            <v>3.8562901471501272</v>
          </cell>
          <cell r="F76">
            <v>2.9841026290092891</v>
          </cell>
          <cell r="G76">
            <v>4.5460724093976266</v>
          </cell>
          <cell r="H76">
            <v>4.7226260990141729</v>
          </cell>
        </row>
        <row r="77">
          <cell r="A77" t="str">
            <v>18:Q2</v>
          </cell>
          <cell r="B77">
            <v>7.1441421951492057</v>
          </cell>
          <cell r="C77">
            <v>6.143246763290036</v>
          </cell>
          <cell r="D77">
            <v>5.4187075076661078</v>
          </cell>
          <cell r="E77">
            <v>3.9155782067203533</v>
          </cell>
          <cell r="F77">
            <v>3.1314036908626108</v>
          </cell>
          <cell r="G77">
            <v>4.6732908297648645</v>
          </cell>
          <cell r="H77">
            <v>4.7586507305134775</v>
          </cell>
        </row>
        <row r="78">
          <cell r="A78" t="str">
            <v>18:Q3</v>
          </cell>
          <cell r="B78">
            <v>7.5192564198464833</v>
          </cell>
          <cell r="C78">
            <v>6.0668029639850864</v>
          </cell>
          <cell r="D78">
            <v>5.3657010127991471</v>
          </cell>
          <cell r="E78">
            <v>4.0694456100352712</v>
          </cell>
          <cell r="F78">
            <v>3.3399054043146257</v>
          </cell>
          <cell r="G78">
            <v>4.4136168647580982</v>
          </cell>
          <cell r="H78">
            <v>4.8038386301415832</v>
          </cell>
        </row>
        <row r="79">
          <cell r="A79" t="str">
            <v>18:Q4</v>
          </cell>
          <cell r="B79">
            <v>7.6864754436578098</v>
          </cell>
          <cell r="C79">
            <v>6.0843357684924628</v>
          </cell>
          <cell r="D79">
            <v>5.2393134682638589</v>
          </cell>
          <cell r="E79">
            <v>4.5192842288430528</v>
          </cell>
          <cell r="F79">
            <v>3.6688704668238441</v>
          </cell>
          <cell r="G79">
            <v>4.6550497759034224</v>
          </cell>
          <cell r="H79">
            <v>4.989761024273486</v>
          </cell>
        </row>
        <row r="80">
          <cell r="A80" t="str">
            <v>19:Q1</v>
          </cell>
          <cell r="B80">
            <v>8.0534812989752638</v>
          </cell>
          <cell r="C80">
            <v>6.1026242433026772</v>
          </cell>
          <cell r="D80">
            <v>5.1971907969763675</v>
          </cell>
          <cell r="E80">
            <v>4.4925055461321666</v>
          </cell>
          <cell r="F80">
            <v>3.9890440534998932</v>
          </cell>
          <cell r="G80">
            <v>4.4918628948518053</v>
          </cell>
          <cell r="H80">
            <v>5.0428209578090559</v>
          </cell>
        </row>
        <row r="81">
          <cell r="A81" t="str">
            <v>19:Q2</v>
          </cell>
          <cell r="B81">
            <v>9.0350479675919573</v>
          </cell>
          <cell r="C81">
            <v>6.1247131496756122</v>
          </cell>
          <cell r="D81">
            <v>5.2869467961697527</v>
          </cell>
          <cell r="E81">
            <v>4.7560900099954413</v>
          </cell>
          <cell r="F81">
            <v>3.9687991959944728</v>
          </cell>
          <cell r="G81">
            <v>4.4385713895302352</v>
          </cell>
          <cell r="H81">
            <v>5.1754884251568836</v>
          </cell>
        </row>
        <row r="82">
          <cell r="A82" t="str">
            <v>19:Q3</v>
          </cell>
          <cell r="B82">
            <v>8.9094591319072052</v>
          </cell>
          <cell r="C82">
            <v>5.9684523219998482</v>
          </cell>
          <cell r="D82">
            <v>5.3402003952838175</v>
          </cell>
          <cell r="E82">
            <v>4.7780399578577972</v>
          </cell>
          <cell r="F82">
            <v>4.0558748566046177</v>
          </cell>
          <cell r="G82">
            <v>4.309361279212645</v>
          </cell>
          <cell r="H82">
            <v>5.1589464103315317</v>
          </cell>
        </row>
        <row r="83">
          <cell r="A83" t="str">
            <v>19:Q4</v>
          </cell>
          <cell r="B83">
            <v>9.3566094438700542</v>
          </cell>
          <cell r="C83">
            <v>6.0510835454485408</v>
          </cell>
          <cell r="D83">
            <v>5.6420703186226673</v>
          </cell>
          <cell r="E83">
            <v>4.7908592552518448</v>
          </cell>
          <cell r="F83">
            <v>4.3398216657137381</v>
          </cell>
          <cell r="G83">
            <v>4.2644244362934733</v>
          </cell>
          <cell r="H83">
            <v>5.317134341026704</v>
          </cell>
        </row>
        <row r="84">
          <cell r="A84" t="str">
            <v>20:Q1</v>
          </cell>
          <cell r="B84">
            <v>9.1506030893753483</v>
          </cell>
          <cell r="C84">
            <v>6.2731532641533434</v>
          </cell>
          <cell r="D84">
            <v>5.4845714028478003</v>
          </cell>
          <cell r="E84">
            <v>4.9559765254302386</v>
          </cell>
          <cell r="F84">
            <v>4.1745120116769128</v>
          </cell>
          <cell r="G84">
            <v>4.2293910117941396</v>
          </cell>
          <cell r="H84">
            <v>5.3148215383595705</v>
          </cell>
        </row>
        <row r="85">
          <cell r="A85" t="str">
            <v>20:Q2</v>
          </cell>
          <cell r="B85">
            <v>7.9050484186026768</v>
          </cell>
          <cell r="C85">
            <v>6.1708194530343405</v>
          </cell>
          <cell r="D85">
            <v>5.3232151502634775</v>
          </cell>
          <cell r="E85">
            <v>4.652064583289846</v>
          </cell>
          <cell r="F85">
            <v>3.8704915645705933</v>
          </cell>
          <cell r="G85">
            <v>4.1675415196588164</v>
          </cell>
          <cell r="H85">
            <v>5.0563853451132568</v>
          </cell>
        </row>
        <row r="86">
          <cell r="A86" t="str">
            <v>20:Q3</v>
          </cell>
          <cell r="B86">
            <v>6.8919246225370641</v>
          </cell>
          <cell r="C86">
            <v>5.9105540058445554</v>
          </cell>
          <cell r="D86">
            <v>4.8316666887932289</v>
          </cell>
          <cell r="E86">
            <v>4.3869264723900798</v>
          </cell>
          <cell r="F86">
            <v>3.5018414867659149</v>
          </cell>
          <cell r="G86">
            <v>4.3351054942657852</v>
          </cell>
          <cell r="H86">
            <v>4.7326901415840767</v>
          </cell>
        </row>
        <row r="87">
          <cell r="A87" t="str">
            <v>20:Q4</v>
          </cell>
          <cell r="B87">
            <v>5.7241338772015951</v>
          </cell>
          <cell r="C87">
            <v>5.2120705495223536</v>
          </cell>
          <cell r="D87">
            <v>4.0931451575810858</v>
          </cell>
          <cell r="E87">
            <v>3.8425291823531915</v>
          </cell>
          <cell r="F87">
            <v>2.9393394474344303</v>
          </cell>
          <cell r="G87">
            <v>4.1361376628441064</v>
          </cell>
          <cell r="H87">
            <v>4.1182407109013015</v>
          </cell>
        </row>
        <row r="88">
          <cell r="A88" t="str">
            <v>21:Q1</v>
          </cell>
          <cell r="B88">
            <v>5.1198381472650301</v>
          </cell>
          <cell r="C88">
            <v>4.5058711360420016</v>
          </cell>
          <cell r="D88">
            <v>3.968841917085602</v>
          </cell>
          <cell r="E88">
            <v>3.4297334412121767</v>
          </cell>
          <cell r="F88">
            <v>2.9419676109646056</v>
          </cell>
          <cell r="G88">
            <v>3.7673005140889977</v>
          </cell>
          <cell r="H88">
            <v>3.7843214986472535</v>
          </cell>
        </row>
        <row r="89">
          <cell r="A89" t="str">
            <v>21:Q2</v>
          </cell>
          <cell r="B89">
            <v>4.85030491685038</v>
          </cell>
          <cell r="C89">
            <v>3.9891377713515999</v>
          </cell>
          <cell r="D89">
            <v>3.4920526049549201</v>
          </cell>
          <cell r="E89">
            <v>3.0702971725978898</v>
          </cell>
          <cell r="F89">
            <v>2.8016376348702399</v>
          </cell>
          <cell r="G89">
            <v>3.2335085169022801</v>
          </cell>
          <cell r="H89">
            <v>3.3939739686044201</v>
          </cell>
        </row>
        <row r="90">
          <cell r="A90" t="str">
            <v>21:Q3</v>
          </cell>
          <cell r="B90">
            <v>4.940909346373858</v>
          </cell>
          <cell r="C90">
            <v>3.8956562463928917</v>
          </cell>
          <cell r="D90">
            <v>3.3369517157758231</v>
          </cell>
          <cell r="E90">
            <v>2.9410582089250061</v>
          </cell>
          <cell r="F90">
            <v>2.6747011527476316</v>
          </cell>
          <cell r="G90">
            <v>2.7787462338994899</v>
          </cell>
          <cell r="H90">
            <v>3.2376542718397205</v>
          </cell>
        </row>
        <row r="91">
          <cell r="A91" t="str">
            <v>21:Q4</v>
          </cell>
          <cell r="B91">
            <v>4.9647854118811523</v>
          </cell>
          <cell r="C91">
            <v>4.0795911923315229</v>
          </cell>
          <cell r="D91">
            <v>3.4283741766117775</v>
          </cell>
          <cell r="E91">
            <v>2.7755147473523576</v>
          </cell>
          <cell r="F91">
            <v>2.6379419799922981</v>
          </cell>
          <cell r="G91">
            <v>2.5149767882418939</v>
          </cell>
          <cell r="H91">
            <v>3.2171638852106446</v>
          </cell>
        </row>
        <row r="92">
          <cell r="A92" t="str">
            <v>22:Q1</v>
          </cell>
          <cell r="B92">
            <v>5.12</v>
          </cell>
          <cell r="C92">
            <v>4.1900000000000004</v>
          </cell>
          <cell r="D92">
            <v>3</v>
          </cell>
          <cell r="E92">
            <v>2.44</v>
          </cell>
          <cell r="F92">
            <v>2.3199999999999998</v>
          </cell>
          <cell r="G92">
            <v>2.64</v>
          </cell>
          <cell r="H92">
            <v>3.04</v>
          </cell>
        </row>
        <row r="93">
          <cell r="A93" t="str">
            <v>22:Q2</v>
          </cell>
          <cell r="B93">
            <v>5.9498294373430003</v>
          </cell>
          <cell r="C93">
            <v>4.5799383702039913</v>
          </cell>
          <cell r="D93">
            <v>3.1279744824805245</v>
          </cell>
          <cell r="E93">
            <v>2.7691603098138438</v>
          </cell>
          <cell r="F93">
            <v>2.516170752508768</v>
          </cell>
          <cell r="G93">
            <v>2.9888098236861227</v>
          </cell>
          <cell r="H93">
            <v>3.3537898800433168</v>
          </cell>
        </row>
        <row r="94">
          <cell r="A94" t="str">
            <v>22:Q3</v>
          </cell>
          <cell r="B94">
            <v>6.8551477045352565</v>
          </cell>
          <cell r="C94">
            <v>5.0332837462324429</v>
          </cell>
          <cell r="D94">
            <v>3.568325947159344</v>
          </cell>
          <cell r="E94">
            <v>2.7755701205068193</v>
          </cell>
          <cell r="F94">
            <v>2.7237890632021058</v>
          </cell>
          <cell r="G94">
            <v>3.336097459839281</v>
          </cell>
          <cell r="H94">
            <v>3.6874306552814851</v>
          </cell>
        </row>
        <row r="95">
          <cell r="A95" t="str">
            <v>22:Q4</v>
          </cell>
          <cell r="B95">
            <v>7.6001727767539728</v>
          </cell>
          <cell r="C95">
            <v>5.6868837940140802</v>
          </cell>
          <cell r="D95">
            <v>3.8080288988283142</v>
          </cell>
          <cell r="E95">
            <v>2.9825233213865814</v>
          </cell>
          <cell r="F95">
            <v>2.8138277617459075</v>
          </cell>
          <cell r="G95">
            <v>3.4927099426991646</v>
          </cell>
          <cell r="H95">
            <v>4.0112107754459414</v>
          </cell>
        </row>
        <row r="96">
          <cell r="A96" t="str">
            <v>23:Q1</v>
          </cell>
          <cell r="B96">
            <v>8.3108058881820384</v>
          </cell>
          <cell r="C96">
            <v>6.2676568973207223</v>
          </cell>
          <cell r="D96">
            <v>4.4795230069768088</v>
          </cell>
          <cell r="E96">
            <v>3.7262522958543811</v>
          </cell>
          <cell r="F96">
            <v>3.0722138763548879</v>
          </cell>
          <cell r="G96">
            <v>3.778924248983917</v>
          </cell>
          <cell r="H96">
            <v>4.5743021196072915</v>
          </cell>
        </row>
        <row r="97">
          <cell r="A97" t="str">
            <v>23:Q2</v>
          </cell>
          <cell r="B97">
            <v>8.5151541747101351</v>
          </cell>
          <cell r="C97">
            <v>7.1382357487646848</v>
          </cell>
          <cell r="D97">
            <v>5.1471616376009433</v>
          </cell>
          <cell r="E97">
            <v>4.0250403054893447</v>
          </cell>
          <cell r="F97">
            <v>3.3616130788098526</v>
          </cell>
          <cell r="G97">
            <v>4.2522838565475407</v>
          </cell>
          <cell r="H97">
            <v>5.0782880164932518</v>
          </cell>
        </row>
        <row r="98">
          <cell r="A98" t="str">
            <v>23:Q3</v>
          </cell>
          <cell r="B98">
            <v>9.3011823114627052</v>
          </cell>
          <cell r="C98">
            <v>8.2483212357439797</v>
          </cell>
          <cell r="D98">
            <v>5.7122370192282963</v>
          </cell>
          <cell r="E98">
            <v>4.8940879245369633</v>
          </cell>
          <cell r="F98">
            <v>3.8465771644370115</v>
          </cell>
          <cell r="G98">
            <v>4.5705053423249504</v>
          </cell>
          <cell r="H98">
            <v>5.7842437334963153</v>
          </cell>
        </row>
        <row r="99">
          <cell r="A99" t="str">
            <v>23:Q4</v>
          </cell>
          <cell r="B99">
            <v>9.6506402044220199</v>
          </cell>
          <cell r="C99">
            <v>8.728455083016339</v>
          </cell>
          <cell r="D99">
            <v>6.2245200740631086</v>
          </cell>
          <cell r="E99">
            <v>5.6003128364288042</v>
          </cell>
          <cell r="F99">
            <v>4.4163257565800098</v>
          </cell>
          <cell r="G99">
            <v>5.3261259770704061</v>
          </cell>
          <cell r="H99">
            <v>6.3623072544203882</v>
          </cell>
        </row>
        <row r="100">
          <cell r="A100" t="str">
            <v>24:Q1</v>
          </cell>
          <cell r="B100">
            <v>9.9018684070690366</v>
          </cell>
          <cell r="C100">
            <v>9.4743773885027025</v>
          </cell>
          <cell r="D100">
            <v>6.9562561966775043</v>
          </cell>
          <cell r="E100">
            <v>6.0112292208928917</v>
          </cell>
          <cell r="F100">
            <v>4.7784682383756705</v>
          </cell>
          <cell r="G100">
            <v>5.5349258391918346</v>
          </cell>
          <cell r="H100">
            <v>6.8616488220999612</v>
          </cell>
        </row>
        <row r="101">
          <cell r="A101" t="str">
            <v>24:Q2</v>
          </cell>
          <cell r="B101">
            <v>10.457466977764057</v>
          </cell>
          <cell r="C101">
            <v>9.6514042081400202</v>
          </cell>
          <cell r="D101">
            <v>7.4101058548155549</v>
          </cell>
          <cell r="E101">
            <v>6.43794537681622</v>
          </cell>
          <cell r="F101">
            <v>5.1407221181592213</v>
          </cell>
          <cell r="G101">
            <v>5.4230386955519716</v>
          </cell>
          <cell r="H101">
            <v>7.1756901518926854</v>
          </cell>
        </row>
        <row r="102">
          <cell r="A102" t="str">
            <v>24:Q3</v>
          </cell>
          <cell r="B102">
            <v>10.400663751995337</v>
          </cell>
          <cell r="C102">
            <v>9.0987539802646964</v>
          </cell>
          <cell r="D102">
            <v>7.6411521605702681</v>
          </cell>
          <cell r="E102">
            <v>6.4552103580521134</v>
          </cell>
          <cell r="F102">
            <v>4.9065824351328748</v>
          </cell>
          <cell r="G102">
            <v>5.5209411183349584</v>
          </cell>
          <cell r="H102">
            <v>7.0982709013369716</v>
          </cell>
        </row>
        <row r="103">
          <cell r="A103" t="str">
            <v>24:Q4</v>
          </cell>
          <cell r="B103">
            <v>10.756978209637154</v>
          </cell>
          <cell r="C103">
            <v>9.0293113606665774</v>
          </cell>
          <cell r="D103">
            <v>7.8060894417810864</v>
          </cell>
          <cell r="E103">
            <v>6.5243967241983283</v>
          </cell>
          <cell r="F103">
            <v>4.9944462534626988</v>
          </cell>
          <cell r="G103">
            <v>5.5920166017451614</v>
          </cell>
          <cell r="H103">
            <v>7.1833481209506651</v>
          </cell>
        </row>
        <row r="104">
          <cell r="A104" t="str">
            <v>25:Q1</v>
          </cell>
          <cell r="B104">
            <v>10.335434673735689</v>
          </cell>
          <cell r="C104">
            <v>8.7320725162765402</v>
          </cell>
          <cell r="D104">
            <v>7.6007553799303711</v>
          </cell>
          <cell r="E104">
            <v>6.4487511957382022</v>
          </cell>
          <cell r="F104">
            <v>5.0514885472874571</v>
          </cell>
          <cell r="G104">
            <v>5.571837890040527</v>
          </cell>
          <cell r="H104">
            <v>7.0387930380236883</v>
          </cell>
        </row>
        <row r="105">
          <cell r="A105" t="str">
            <v>25:Q2</v>
          </cell>
          <cell r="B105">
            <v>9.8605724705808289</v>
          </cell>
          <cell r="C105">
            <v>8.6778311865824111</v>
          </cell>
          <cell r="D105">
            <v>7.4577250711787197</v>
          </cell>
          <cell r="E105">
            <v>6.2494578563907357</v>
          </cell>
          <cell r="F105">
            <v>5.0531315650260327</v>
          </cell>
          <cell r="G105">
            <v>5.6560306955619115</v>
          </cell>
          <cell r="H105">
            <v>6.9318745434571571</v>
          </cell>
        </row>
        <row r="106">
          <cell r="A106" t="str">
            <v>25:Q3</v>
          </cell>
          <cell r="B106">
            <v>9.9719875468057513</v>
          </cell>
          <cell r="C106">
            <v>8.7736257230702073</v>
          </cell>
          <cell r="D106">
            <v>7.633057815211183</v>
          </cell>
          <cell r="E106">
            <v>5.9908674067301364</v>
          </cell>
          <cell r="F106">
            <v>5.4737375947373454</v>
          </cell>
          <cell r="G106">
            <v>6.0087504382954364</v>
          </cell>
          <cell r="H106">
            <v>7.0529806170699487</v>
          </cell>
        </row>
        <row r="107">
          <cell r="A107" t="str">
            <v>25:Q4</v>
          </cell>
          <cell r="B107">
            <v>9.480306987989481</v>
          </cell>
          <cell r="C107">
            <v>8.6322814624756621</v>
          </cell>
          <cell r="D107">
            <v>8.1371690776208254</v>
          </cell>
          <cell r="E107">
            <v>6.2369001795004495</v>
          </cell>
          <cell r="F107">
            <v>5.379009668201638</v>
          </cell>
          <cell r="G107">
            <v>5.8974757640978064</v>
          </cell>
          <cell r="H107">
            <v>7.1316033504525356</v>
          </cell>
        </row>
        <row r="108">
          <cell r="A108" t="str">
            <v>26:Q1</v>
          </cell>
          <cell r="B108">
            <v>9.665874289875017</v>
          </cell>
          <cell r="C108">
            <v>8.6763140002971006</v>
          </cell>
          <cell r="D108">
            <v>7.9910404997631375</v>
          </cell>
          <cell r="E108">
            <v>6.2564390580133411</v>
          </cell>
          <cell r="F108">
            <v>5.275002957759285</v>
          </cell>
          <cell r="G108">
            <v>6.0489525563874063</v>
          </cell>
          <cell r="H108">
            <v>7.1184189396578459</v>
          </cell>
        </row>
      </sheetData>
      <sheetData sheetId="49" refreshError="1"/>
      <sheetData sheetId="50">
        <row r="1">
          <cell r="A1" t="str">
            <v>Transition into Serious Delinquency (90+) for Student Loans by Age</v>
          </cell>
        </row>
        <row r="2">
          <cell r="A2" t="str">
            <v>Percent</v>
          </cell>
        </row>
        <row r="3">
          <cell r="A3" t="str">
            <v>quarter</v>
          </cell>
          <cell r="B3" t="str">
            <v>18-29</v>
          </cell>
          <cell r="C3" t="str">
            <v>30-39</v>
          </cell>
          <cell r="D3" t="str">
            <v>40-49</v>
          </cell>
          <cell r="E3" t="str">
            <v>50+</v>
          </cell>
        </row>
        <row r="4">
          <cell r="A4" t="str">
            <v>00:Q1</v>
          </cell>
          <cell r="B4">
            <v>9.6283307922316865</v>
          </cell>
          <cell r="C4">
            <v>11.79007394222878</v>
          </cell>
          <cell r="D4">
            <v>17.415104739057131</v>
          </cell>
          <cell r="E4">
            <v>7.1443980421694819</v>
          </cell>
        </row>
        <row r="5">
          <cell r="A5" t="str">
            <v>00:Q2</v>
          </cell>
          <cell r="B5">
            <v>11.410657567959422</v>
          </cell>
          <cell r="C5">
            <v>12.339488815202479</v>
          </cell>
          <cell r="D5">
            <v>15.040507242189124</v>
          </cell>
          <cell r="E5">
            <v>5.9336309870718269</v>
          </cell>
        </row>
        <row r="6">
          <cell r="A6" t="str">
            <v>00:Q3</v>
          </cell>
          <cell r="B6">
            <v>11.503634014515182</v>
          </cell>
          <cell r="C6">
            <v>11.977572319162274</v>
          </cell>
          <cell r="D6">
            <v>15.224114189016122</v>
          </cell>
          <cell r="E6">
            <v>5.8857742921203746</v>
          </cell>
        </row>
        <row r="7">
          <cell r="A7" t="str">
            <v>00:Q4</v>
          </cell>
          <cell r="B7">
            <v>11.934873983326675</v>
          </cell>
          <cell r="C7">
            <v>11.468091381491266</v>
          </cell>
          <cell r="D7">
            <v>14.511986447476616</v>
          </cell>
          <cell r="E7">
            <v>6.0578992805755396</v>
          </cell>
        </row>
        <row r="8">
          <cell r="A8" t="str">
            <v>01:Q1</v>
          </cell>
          <cell r="B8">
            <v>12.061164619646062</v>
          </cell>
          <cell r="C8">
            <v>10.970828556362511</v>
          </cell>
          <cell r="D8">
            <v>13.644983326743244</v>
          </cell>
          <cell r="E8">
            <v>6.991983431158955</v>
          </cell>
        </row>
        <row r="9">
          <cell r="A9" t="str">
            <v>01:Q2</v>
          </cell>
          <cell r="B9">
            <v>11.568643776377764</v>
          </cell>
          <cell r="C9">
            <v>11.466239114995149</v>
          </cell>
          <cell r="D9">
            <v>13.747441073163136</v>
          </cell>
          <cell r="E9">
            <v>7.4528813394728539</v>
          </cell>
        </row>
        <row r="10">
          <cell r="A10" t="str">
            <v>01:Q3</v>
          </cell>
          <cell r="B10">
            <v>11.966154384834256</v>
          </cell>
          <cell r="C10">
            <v>11.767072485500039</v>
          </cell>
          <cell r="D10">
            <v>13.791058145561591</v>
          </cell>
          <cell r="E10">
            <v>7.3010846508525589</v>
          </cell>
        </row>
        <row r="11">
          <cell r="A11" t="str">
            <v>01:Q4</v>
          </cell>
          <cell r="B11">
            <v>12.604143777679289</v>
          </cell>
          <cell r="C11">
            <v>12.918504473658682</v>
          </cell>
          <cell r="D11">
            <v>13.323875295145211</v>
          </cell>
          <cell r="E11">
            <v>7.9989067536919682</v>
          </cell>
        </row>
        <row r="12">
          <cell r="A12" t="str">
            <v>02:Q1</v>
          </cell>
          <cell r="B12">
            <v>11.860745730418728</v>
          </cell>
          <cell r="C12">
            <v>12.972467248993166</v>
          </cell>
          <cell r="D12">
            <v>12.660993087571951</v>
          </cell>
          <cell r="E12">
            <v>7.9979069162990291</v>
          </cell>
        </row>
        <row r="13">
          <cell r="A13" t="str">
            <v>02:Q2</v>
          </cell>
          <cell r="B13">
            <v>10.819273549790291</v>
          </cell>
          <cell r="C13">
            <v>12.158882685408603</v>
          </cell>
          <cell r="D13">
            <v>13.249388350426623</v>
          </cell>
          <cell r="E13">
            <v>8.5737322602206536</v>
          </cell>
        </row>
        <row r="14">
          <cell r="A14" t="str">
            <v>02:Q3</v>
          </cell>
          <cell r="B14">
            <v>10.0567723985003</v>
          </cell>
          <cell r="C14">
            <v>11.611657906140003</v>
          </cell>
          <cell r="D14">
            <v>13.334604634629219</v>
          </cell>
          <cell r="E14">
            <v>8.6341550867982733</v>
          </cell>
        </row>
        <row r="15">
          <cell r="A15" t="str">
            <v>02:Q4</v>
          </cell>
          <cell r="B15">
            <v>8.6026113617275595</v>
          </cell>
          <cell r="C15">
            <v>11.309095108487298</v>
          </cell>
          <cell r="D15">
            <v>14.511503810604133</v>
          </cell>
          <cell r="E15">
            <v>8.9594939850502229</v>
          </cell>
        </row>
        <row r="16">
          <cell r="A16" t="str">
            <v>03:Q1</v>
          </cell>
          <cell r="B16">
            <v>8.7836385310338443</v>
          </cell>
          <cell r="C16">
            <v>11.921158183487957</v>
          </cell>
          <cell r="D16">
            <v>14.638145811784749</v>
          </cell>
          <cell r="E16">
            <v>9.4398986185208944</v>
          </cell>
        </row>
        <row r="17">
          <cell r="A17" t="str">
            <v>03:Q2</v>
          </cell>
          <cell r="B17">
            <v>7.4217459867614384</v>
          </cell>
          <cell r="C17">
            <v>12.156004747783674</v>
          </cell>
          <cell r="D17">
            <v>13.757755062382159</v>
          </cell>
          <cell r="E17">
            <v>10.955457758964998</v>
          </cell>
        </row>
        <row r="18">
          <cell r="A18" t="str">
            <v>03:Q3</v>
          </cell>
          <cell r="B18">
            <v>6.088173381312834</v>
          </cell>
          <cell r="C18">
            <v>11.188218806355223</v>
          </cell>
          <cell r="D18">
            <v>11.835158502595197</v>
          </cell>
          <cell r="E18">
            <v>10.54128624655759</v>
          </cell>
        </row>
        <row r="19">
          <cell r="A19" t="str">
            <v>03:Q4</v>
          </cell>
          <cell r="B19">
            <v>4.8108232746703745</v>
          </cell>
          <cell r="C19">
            <v>9.6278633908875637</v>
          </cell>
          <cell r="D19">
            <v>9.4975980404968787</v>
          </cell>
          <cell r="E19">
            <v>8.2778856514162094</v>
          </cell>
        </row>
        <row r="20">
          <cell r="A20" t="str">
            <v>04:Q1</v>
          </cell>
          <cell r="B20">
            <v>3.8377190900610079</v>
          </cell>
          <cell r="C20">
            <v>6.9287458701368045</v>
          </cell>
          <cell r="D20">
            <v>8.6834112181751948</v>
          </cell>
          <cell r="E20">
            <v>7.9585068541738302</v>
          </cell>
        </row>
        <row r="21">
          <cell r="A21" t="str">
            <v>04:Q2</v>
          </cell>
          <cell r="B21">
            <v>3.780578514343357</v>
          </cell>
          <cell r="C21">
            <v>5.9886976728044026</v>
          </cell>
          <cell r="D21">
            <v>9.0722949401617221</v>
          </cell>
          <cell r="E21">
            <v>6.7253348967039219</v>
          </cell>
        </row>
        <row r="22">
          <cell r="A22" t="str">
            <v>04:Q3</v>
          </cell>
          <cell r="B22">
            <v>3.8380301893556505</v>
          </cell>
          <cell r="C22">
            <v>6.1565599916048281</v>
          </cell>
          <cell r="D22">
            <v>9.6772091264500197</v>
          </cell>
          <cell r="E22">
            <v>6.6639997470175931</v>
          </cell>
        </row>
        <row r="23">
          <cell r="A23" t="str">
            <v>04:Q4</v>
          </cell>
          <cell r="B23">
            <v>4.095666109687496</v>
          </cell>
          <cell r="C23">
            <v>6.3717632021845425</v>
          </cell>
          <cell r="D23">
            <v>10.201816981549596</v>
          </cell>
          <cell r="E23">
            <v>8.8375559330462181</v>
          </cell>
        </row>
        <row r="24">
          <cell r="A24" t="str">
            <v>05:Q1</v>
          </cell>
          <cell r="B24">
            <v>4.7175837408430166</v>
          </cell>
          <cell r="C24">
            <v>7.5359323856947009</v>
          </cell>
          <cell r="D24">
            <v>10.27686426021245</v>
          </cell>
          <cell r="E24">
            <v>9.0200517388159334</v>
          </cell>
        </row>
        <row r="25">
          <cell r="A25" t="str">
            <v>05:Q2</v>
          </cell>
          <cell r="B25">
            <v>4.7433244152377556</v>
          </cell>
          <cell r="C25">
            <v>7.7072096898243565</v>
          </cell>
          <cell r="D25">
            <v>10.217292969947293</v>
          </cell>
          <cell r="E25">
            <v>8.3373885582039335</v>
          </cell>
        </row>
        <row r="26">
          <cell r="A26" t="str">
            <v>05:Q3</v>
          </cell>
          <cell r="B26">
            <v>5.2864401034354112</v>
          </cell>
          <cell r="C26">
            <v>7.775864332894364</v>
          </cell>
          <cell r="D26">
            <v>10.522717720162595</v>
          </cell>
          <cell r="E26">
            <v>8.5036080450189875</v>
          </cell>
        </row>
        <row r="27">
          <cell r="A27" t="str">
            <v>05:Q4</v>
          </cell>
          <cell r="B27">
            <v>5.0694286091825376</v>
          </cell>
          <cell r="C27">
            <v>7.272283603727697</v>
          </cell>
          <cell r="D27">
            <v>9.7299000194720779</v>
          </cell>
          <cell r="E27">
            <v>7.4650849791146321</v>
          </cell>
        </row>
        <row r="28">
          <cell r="A28" t="str">
            <v>06:Q1</v>
          </cell>
          <cell r="B28">
            <v>4.7806143912842147</v>
          </cell>
          <cell r="C28">
            <v>7.3440411753750627</v>
          </cell>
          <cell r="D28">
            <v>9.6937114616854885</v>
          </cell>
          <cell r="E28">
            <v>8.0634709682857295</v>
          </cell>
        </row>
        <row r="29">
          <cell r="A29" t="str">
            <v>06:Q2</v>
          </cell>
          <cell r="B29">
            <v>5.3805370487729043</v>
          </cell>
          <cell r="C29">
            <v>7.8950869156342725</v>
          </cell>
          <cell r="D29">
            <v>9.4453891223591278</v>
          </cell>
          <cell r="E29">
            <v>8.4267107413810329</v>
          </cell>
        </row>
        <row r="30">
          <cell r="A30" t="str">
            <v>06:Q3</v>
          </cell>
          <cell r="B30">
            <v>5.4384262881481353</v>
          </cell>
          <cell r="C30">
            <v>8.6421431871277843</v>
          </cell>
          <cell r="D30">
            <v>9.6082490382670773</v>
          </cell>
          <cell r="E30">
            <v>7.9109372308292372</v>
          </cell>
        </row>
        <row r="31">
          <cell r="A31" t="str">
            <v>06:Q4</v>
          </cell>
          <cell r="B31">
            <v>5.8509589873157939</v>
          </cell>
          <cell r="C31">
            <v>9.5380043725110273</v>
          </cell>
          <cell r="D31">
            <v>9.9669857363138359</v>
          </cell>
          <cell r="E31">
            <v>8.0130568442454582</v>
          </cell>
        </row>
        <row r="32">
          <cell r="A32" t="str">
            <v>07:Q1</v>
          </cell>
          <cell r="B32">
            <v>6.1690237096131559</v>
          </cell>
          <cell r="C32">
            <v>9.4160441850772969</v>
          </cell>
          <cell r="D32">
            <v>10.770290498218598</v>
          </cell>
          <cell r="E32">
            <v>7.6392602979317719</v>
          </cell>
        </row>
        <row r="33">
          <cell r="A33" t="str">
            <v>07:Q2</v>
          </cell>
          <cell r="B33">
            <v>5.8629196063798661</v>
          </cell>
          <cell r="C33">
            <v>9.8109432087265098</v>
          </cell>
          <cell r="D33">
            <v>10.749135865222703</v>
          </cell>
          <cell r="E33">
            <v>7.9674320892352064</v>
          </cell>
        </row>
        <row r="34">
          <cell r="A34" t="str">
            <v>07:Q3</v>
          </cell>
          <cell r="B34">
            <v>5.6892280002588711</v>
          </cell>
          <cell r="C34">
            <v>9.410673390885405</v>
          </cell>
          <cell r="D34">
            <v>9.4720256775413905</v>
          </cell>
          <cell r="E34">
            <v>7.9012866165163178</v>
          </cell>
        </row>
        <row r="35">
          <cell r="A35" t="str">
            <v>07:Q4</v>
          </cell>
          <cell r="B35">
            <v>5.497412235578234</v>
          </cell>
          <cell r="C35">
            <v>9.4326807952457514</v>
          </cell>
          <cell r="D35">
            <v>9.0843864099751581</v>
          </cell>
          <cell r="E35">
            <v>7.4055163575253866</v>
          </cell>
        </row>
        <row r="36">
          <cell r="A36" t="str">
            <v>08:Q1</v>
          </cell>
          <cell r="B36">
            <v>5.3856005011862074</v>
          </cell>
          <cell r="C36">
            <v>9.4957535315891661</v>
          </cell>
          <cell r="D36">
            <v>9.0768931535543373</v>
          </cell>
          <cell r="E36">
            <v>6.535911143575218</v>
          </cell>
        </row>
        <row r="37">
          <cell r="A37" t="str">
            <v>08:Q2</v>
          </cell>
          <cell r="B37">
            <v>5.1688715959724529</v>
          </cell>
          <cell r="C37">
            <v>8.6589522602482667</v>
          </cell>
          <cell r="D37">
            <v>9.039219274182317</v>
          </cell>
          <cell r="E37">
            <v>6.2103709778676901</v>
          </cell>
        </row>
        <row r="38">
          <cell r="A38" t="str">
            <v>08:Q3</v>
          </cell>
          <cell r="B38">
            <v>5.373327499197841</v>
          </cell>
          <cell r="C38">
            <v>8.5573799503103256</v>
          </cell>
          <cell r="D38">
            <v>10.080392927312829</v>
          </cell>
          <cell r="E38">
            <v>6.5541276440440592</v>
          </cell>
        </row>
        <row r="39">
          <cell r="A39" t="str">
            <v>08:Q4</v>
          </cell>
          <cell r="B39">
            <v>5.4370550091552641</v>
          </cell>
          <cell r="C39">
            <v>8.6032295809057171</v>
          </cell>
          <cell r="D39">
            <v>10.528534901900924</v>
          </cell>
          <cell r="E39">
            <v>6.8118489077609619</v>
          </cell>
        </row>
        <row r="40">
          <cell r="A40" t="str">
            <v>09:Q1</v>
          </cell>
          <cell r="B40">
            <v>5.5032085060700533</v>
          </cell>
          <cell r="C40">
            <v>8.5364091734210454</v>
          </cell>
          <cell r="D40">
            <v>10.090861847526964</v>
          </cell>
          <cell r="E40">
            <v>6.7957220081315297</v>
          </cell>
        </row>
        <row r="41">
          <cell r="A41" t="str">
            <v>09:Q2</v>
          </cell>
          <cell r="B41">
            <v>5.8313496566673448</v>
          </cell>
          <cell r="C41">
            <v>8.8101327894262198</v>
          </cell>
          <cell r="D41">
            <v>9.9336647297223255</v>
          </cell>
          <cell r="E41">
            <v>7.3993772166696452</v>
          </cell>
        </row>
        <row r="42">
          <cell r="A42" t="str">
            <v>09:Q3</v>
          </cell>
          <cell r="B42">
            <v>5.703318250401777</v>
          </cell>
          <cell r="C42">
            <v>8.6716806744301689</v>
          </cell>
          <cell r="D42">
            <v>10.308377677042897</v>
          </cell>
          <cell r="E42">
            <v>7.8466868997037729</v>
          </cell>
        </row>
        <row r="43">
          <cell r="A43" t="str">
            <v>09:Q4</v>
          </cell>
          <cell r="B43">
            <v>6.1226805531460053</v>
          </cell>
          <cell r="C43">
            <v>8.5938018334976469</v>
          </cell>
          <cell r="D43">
            <v>10.928057681901487</v>
          </cell>
          <cell r="E43">
            <v>8.1689591597575486</v>
          </cell>
        </row>
        <row r="44">
          <cell r="A44" t="str">
            <v>10:Q1</v>
          </cell>
          <cell r="B44">
            <v>6.3083026821322576</v>
          </cell>
          <cell r="C44">
            <v>8.6162948459043953</v>
          </cell>
          <cell r="D44">
            <v>10.900753166389352</v>
          </cell>
          <cell r="E44">
            <v>9.4665369923829186</v>
          </cell>
        </row>
        <row r="45">
          <cell r="A45" t="str">
            <v>10:Q2</v>
          </cell>
          <cell r="B45">
            <v>6.492578625245593</v>
          </cell>
          <cell r="C45">
            <v>8.9686634678165547</v>
          </cell>
          <cell r="D45">
            <v>12.375491636115115</v>
          </cell>
          <cell r="E45">
            <v>9.5501334510254985</v>
          </cell>
        </row>
        <row r="46">
          <cell r="A46" t="str">
            <v>10:Q3</v>
          </cell>
          <cell r="B46">
            <v>6.5836947963704766</v>
          </cell>
          <cell r="C46">
            <v>9.3897060408830999</v>
          </cell>
          <cell r="D46">
            <v>12.055189340543077</v>
          </cell>
          <cell r="E46">
            <v>9.0879456261518907</v>
          </cell>
        </row>
        <row r="47">
          <cell r="A47" t="str">
            <v>10:Q4</v>
          </cell>
          <cell r="B47">
            <v>6.4101468010843927</v>
          </cell>
          <cell r="C47">
            <v>9.1169045637500368</v>
          </cell>
          <cell r="D47">
            <v>11.563626314048991</v>
          </cell>
          <cell r="E47">
            <v>9.0379425550302734</v>
          </cell>
        </row>
        <row r="48">
          <cell r="A48" t="str">
            <v>11:Q1</v>
          </cell>
          <cell r="B48">
            <v>6.2878342973692156</v>
          </cell>
          <cell r="C48">
            <v>9.3267564181777036</v>
          </cell>
          <cell r="D48">
            <v>11.99896105417996</v>
          </cell>
          <cell r="E48">
            <v>8.5674760377361796</v>
          </cell>
        </row>
        <row r="49">
          <cell r="A49" t="str">
            <v>11:Q2</v>
          </cell>
          <cell r="B49">
            <v>6.5045469566054042</v>
          </cell>
          <cell r="C49">
            <v>9.4324616355942084</v>
          </cell>
          <cell r="D49">
            <v>11.705410237882077</v>
          </cell>
          <cell r="E49">
            <v>8.7742105256183152</v>
          </cell>
        </row>
        <row r="50">
          <cell r="A50" t="str">
            <v>11:Q3</v>
          </cell>
          <cell r="B50">
            <v>6.6293256990319307</v>
          </cell>
          <cell r="C50">
            <v>9.7020799395952793</v>
          </cell>
          <cell r="D50">
            <v>11.977161619281324</v>
          </cell>
          <cell r="E50">
            <v>9.310272485541768</v>
          </cell>
        </row>
        <row r="51">
          <cell r="A51" t="str">
            <v>11:Q4</v>
          </cell>
          <cell r="B51">
            <v>6.8284662404155618</v>
          </cell>
          <cell r="C51">
            <v>10.251925425714159</v>
          </cell>
          <cell r="D51">
            <v>12.249051191291183</v>
          </cell>
          <cell r="E51">
            <v>10.179458096810084</v>
          </cell>
        </row>
        <row r="52">
          <cell r="A52" t="str">
            <v>12:Q1</v>
          </cell>
          <cell r="B52">
            <v>6.8874454125732623</v>
          </cell>
          <cell r="C52">
            <v>10.107225997220372</v>
          </cell>
          <cell r="D52">
            <v>12.401693577951779</v>
          </cell>
          <cell r="E52">
            <v>10.651127458781332</v>
          </cell>
        </row>
        <row r="53">
          <cell r="A53" t="str">
            <v>12:Q2</v>
          </cell>
          <cell r="B53">
            <v>7.5319324322175776</v>
          </cell>
          <cell r="C53">
            <v>10.303770631787289</v>
          </cell>
          <cell r="D53">
            <v>13.018873133814788</v>
          </cell>
          <cell r="E53">
            <v>10.736369128594166</v>
          </cell>
        </row>
        <row r="54">
          <cell r="A54" t="str">
            <v>12:Q3</v>
          </cell>
          <cell r="B54">
            <v>8.0779566743711442</v>
          </cell>
          <cell r="C54">
            <v>10.705065678631914</v>
          </cell>
          <cell r="D54">
            <v>13.504987157267651</v>
          </cell>
          <cell r="E54">
            <v>11.105928435333345</v>
          </cell>
        </row>
        <row r="55">
          <cell r="A55" t="str">
            <v>12:Q4</v>
          </cell>
          <cell r="B55">
            <v>8.2732973053012522</v>
          </cell>
          <cell r="C55">
            <v>10.561982825299349</v>
          </cell>
          <cell r="D55">
            <v>14.176789078949284</v>
          </cell>
          <cell r="E55">
            <v>10.046392974634086</v>
          </cell>
        </row>
        <row r="56">
          <cell r="A56" t="str">
            <v>13:Q1</v>
          </cell>
          <cell r="B56">
            <v>8.5112699039718898</v>
          </cell>
          <cell r="C56">
            <v>11.168004046755515</v>
          </cell>
          <cell r="D56">
            <v>14.371873282482161</v>
          </cell>
          <cell r="E56">
            <v>9.4518686222238113</v>
          </cell>
        </row>
        <row r="57">
          <cell r="A57" t="str">
            <v>13:Q2</v>
          </cell>
          <cell r="B57">
            <v>7.7525732409806105</v>
          </cell>
          <cell r="C57">
            <v>10.968037853381611</v>
          </cell>
          <cell r="D57">
            <v>13.258217472039686</v>
          </cell>
          <cell r="E57">
            <v>9.1170710537059474</v>
          </cell>
        </row>
        <row r="58">
          <cell r="A58" t="str">
            <v>13:Q3</v>
          </cell>
          <cell r="B58">
            <v>7.6473795467174712</v>
          </cell>
          <cell r="C58">
            <v>10.754593242858746</v>
          </cell>
          <cell r="D58">
            <v>13.061487431476479</v>
          </cell>
          <cell r="E58">
            <v>8.8355090254651412</v>
          </cell>
        </row>
        <row r="59">
          <cell r="A59" t="str">
            <v>13:Q4</v>
          </cell>
          <cell r="B59">
            <v>7.7876066844247278</v>
          </cell>
          <cell r="C59">
            <v>11.225855560906375</v>
          </cell>
          <cell r="D59">
            <v>13.0373977087971</v>
          </cell>
          <cell r="E59">
            <v>10.188692953336739</v>
          </cell>
        </row>
        <row r="60">
          <cell r="A60" t="str">
            <v>14:Q1</v>
          </cell>
          <cell r="B60">
            <v>7.7573293600156576</v>
          </cell>
          <cell r="C60">
            <v>11.06088257335594</v>
          </cell>
          <cell r="D60">
            <v>13.207541783015239</v>
          </cell>
          <cell r="E60">
            <v>10.389369059694008</v>
          </cell>
        </row>
        <row r="61">
          <cell r="A61" t="str">
            <v>14:Q2</v>
          </cell>
          <cell r="B61">
            <v>7.9443131279352404</v>
          </cell>
          <cell r="C61">
            <v>11.124420773202335</v>
          </cell>
          <cell r="D61">
            <v>13.592049698511509</v>
          </cell>
          <cell r="E61">
            <v>10.253746724175237</v>
          </cell>
        </row>
        <row r="62">
          <cell r="A62" t="str">
            <v>14:Q3</v>
          </cell>
          <cell r="B62">
            <v>7.6845834649390099</v>
          </cell>
          <cell r="C62">
            <v>10.940970566908669</v>
          </cell>
          <cell r="D62">
            <v>13.610062095503093</v>
          </cell>
          <cell r="E62">
            <v>10.550652585336067</v>
          </cell>
        </row>
        <row r="63">
          <cell r="A63" t="str">
            <v>14:Q4</v>
          </cell>
          <cell r="B63">
            <v>7.5244427057449546</v>
          </cell>
          <cell r="C63">
            <v>10.963436158950916</v>
          </cell>
          <cell r="D63">
            <v>13.520374937758428</v>
          </cell>
          <cell r="E63">
            <v>10.15749179038921</v>
          </cell>
        </row>
        <row r="64">
          <cell r="A64" t="str">
            <v>15:Q1</v>
          </cell>
          <cell r="B64">
            <v>7.5752720845743031</v>
          </cell>
          <cell r="C64">
            <v>10.650928321678457</v>
          </cell>
          <cell r="D64">
            <v>13.310420575554593</v>
          </cell>
          <cell r="E64">
            <v>10.673567779354604</v>
          </cell>
        </row>
        <row r="65">
          <cell r="A65" t="str">
            <v>15:Q2</v>
          </cell>
          <cell r="B65">
            <v>7.5332718656956761</v>
          </cell>
          <cell r="C65">
            <v>10.853432098361097</v>
          </cell>
          <cell r="D65">
            <v>13.270900253804655</v>
          </cell>
          <cell r="E65">
            <v>11.200183444490348</v>
          </cell>
        </row>
        <row r="66">
          <cell r="A66" t="str">
            <v>15:Q3</v>
          </cell>
          <cell r="B66">
            <v>7.6565136947578969</v>
          </cell>
          <cell r="C66">
            <v>10.710454870924172</v>
          </cell>
          <cell r="D66">
            <v>13.031707124815606</v>
          </cell>
          <cell r="E66">
            <v>11.230830333755577</v>
          </cell>
        </row>
        <row r="67">
          <cell r="A67" t="str">
            <v>15:Q4</v>
          </cell>
          <cell r="B67">
            <v>7.9683786589410373</v>
          </cell>
          <cell r="C67">
            <v>10.511331762574978</v>
          </cell>
          <cell r="D67">
            <v>13.062373356710498</v>
          </cell>
          <cell r="E67">
            <v>10.408412673717999</v>
          </cell>
        </row>
        <row r="68">
          <cell r="A68" t="str">
            <v>16:Q1</v>
          </cell>
          <cell r="B68">
            <v>7.6878836677801656</v>
          </cell>
          <cell r="C68">
            <v>10.363911619429722</v>
          </cell>
          <cell r="D68">
            <v>12.58090285252498</v>
          </cell>
          <cell r="E68">
            <v>9.9661833494042718</v>
          </cell>
        </row>
        <row r="69">
          <cell r="A69" t="str">
            <v>16:Q2</v>
          </cell>
          <cell r="B69">
            <v>7.8848980723451767</v>
          </cell>
          <cell r="C69">
            <v>9.7357039163688199</v>
          </cell>
          <cell r="D69">
            <v>12.214259574604577</v>
          </cell>
          <cell r="E69">
            <v>9.7477210336521996</v>
          </cell>
        </row>
        <row r="70">
          <cell r="A70" t="str">
            <v>16:Q3</v>
          </cell>
          <cell r="B70">
            <v>8.0625396316151789</v>
          </cell>
          <cell r="C70">
            <v>9.64729481417349</v>
          </cell>
          <cell r="D70">
            <v>12.245666732062155</v>
          </cell>
          <cell r="E70">
            <v>9.932372216489938</v>
          </cell>
        </row>
        <row r="71">
          <cell r="A71" t="str">
            <v>16:Q4</v>
          </cell>
          <cell r="B71">
            <v>7.938027505069206</v>
          </cell>
          <cell r="C71">
            <v>9.2936414089404238</v>
          </cell>
          <cell r="D71">
            <v>12.110124613839677</v>
          </cell>
          <cell r="E71">
            <v>10.006305882607885</v>
          </cell>
        </row>
        <row r="72">
          <cell r="A72" t="str">
            <v>17:Q1</v>
          </cell>
          <cell r="B72">
            <v>7.9566895882574329</v>
          </cell>
          <cell r="C72">
            <v>9.5223677229210022</v>
          </cell>
          <cell r="D72">
            <v>12.390179607875714</v>
          </cell>
          <cell r="E72">
            <v>10.101562292117267</v>
          </cell>
        </row>
        <row r="73">
          <cell r="A73" t="str">
            <v>17:Q2</v>
          </cell>
          <cell r="B73">
            <v>7.7603740890071231</v>
          </cell>
          <cell r="C73">
            <v>9.8688793139777449</v>
          </cell>
          <cell r="D73">
            <v>12.426356097459539</v>
          </cell>
          <cell r="E73">
            <v>10.249093261169696</v>
          </cell>
        </row>
        <row r="74">
          <cell r="A74" t="str">
            <v>17:Q3</v>
          </cell>
          <cell r="B74">
            <v>7.7972869071884112</v>
          </cell>
          <cell r="C74">
            <v>9.9588540267685435</v>
          </cell>
          <cell r="D74">
            <v>12.32517759057431</v>
          </cell>
          <cell r="E74">
            <v>9.4766916639353802</v>
          </cell>
        </row>
        <row r="75">
          <cell r="A75" t="str">
            <v>17:Q4</v>
          </cell>
          <cell r="B75">
            <v>7.3776378873036421</v>
          </cell>
          <cell r="C75">
            <v>9.471028971719603</v>
          </cell>
          <cell r="D75">
            <v>12.097745123325293</v>
          </cell>
          <cell r="E75">
            <v>9.5527342075897401</v>
          </cell>
        </row>
        <row r="76">
          <cell r="A76" t="str">
            <v>18:Q1</v>
          </cell>
          <cell r="B76">
            <v>7.4196920914273461</v>
          </cell>
          <cell r="C76">
            <v>8.6704556400576536</v>
          </cell>
          <cell r="D76">
            <v>11.717102577751556</v>
          </cell>
          <cell r="E76">
            <v>9.1073188623638437</v>
          </cell>
        </row>
        <row r="77">
          <cell r="A77" t="str">
            <v>18:Q2</v>
          </cell>
          <cell r="B77">
            <v>7.0510045432628194</v>
          </cell>
          <cell r="C77">
            <v>8.5813140641447774</v>
          </cell>
          <cell r="D77">
            <v>11.140851503372934</v>
          </cell>
          <cell r="E77">
            <v>8.9522173012869644</v>
          </cell>
        </row>
        <row r="78">
          <cell r="A78" t="str">
            <v>18:Q3</v>
          </cell>
          <cell r="B78">
            <v>7.1887304099526599</v>
          </cell>
          <cell r="C78">
            <v>9.4250706205715797</v>
          </cell>
          <cell r="D78">
            <v>11.187733162602004</v>
          </cell>
          <cell r="E78">
            <v>9.7476194267890683</v>
          </cell>
        </row>
        <row r="79">
          <cell r="A79" t="str">
            <v>18:Q4</v>
          </cell>
          <cell r="B79">
            <v>6.9806840652819417</v>
          </cell>
          <cell r="C79">
            <v>9.5707587271572248</v>
          </cell>
          <cell r="D79">
            <v>10.629347251664575</v>
          </cell>
          <cell r="E79">
            <v>9.3113064887347683</v>
          </cell>
        </row>
        <row r="80">
          <cell r="A80" t="str">
            <v>19:Q1</v>
          </cell>
          <cell r="B80">
            <v>7.0988932232774333</v>
          </cell>
          <cell r="C80">
            <v>10.30059315836948</v>
          </cell>
          <cell r="D80">
            <v>10.741084436249986</v>
          </cell>
          <cell r="E80">
            <v>9.7061060609073113</v>
          </cell>
        </row>
        <row r="81">
          <cell r="A81" t="str">
            <v>19:Q2</v>
          </cell>
          <cell r="B81">
            <v>7.2001470337861502</v>
          </cell>
          <cell r="C81">
            <v>10.530060315007056</v>
          </cell>
          <cell r="D81">
            <v>11.902496345734329</v>
          </cell>
          <cell r="E81">
            <v>10.120153841604898</v>
          </cell>
        </row>
        <row r="82">
          <cell r="A82" t="str">
            <v>19:Q3</v>
          </cell>
          <cell r="B82">
            <v>6.5867531781262683</v>
          </cell>
          <cell r="C82">
            <v>9.2769059965388543</v>
          </cell>
          <cell r="D82">
            <v>11.677263610253519</v>
          </cell>
          <cell r="E82">
            <v>9.5548811036715673</v>
          </cell>
        </row>
        <row r="83">
          <cell r="A83" t="str">
            <v>19:Q4</v>
          </cell>
          <cell r="B83">
            <v>6.6636562420908039</v>
          </cell>
          <cell r="C83">
            <v>8.8637011165075581</v>
          </cell>
          <cell r="D83">
            <v>11.565944139256464</v>
          </cell>
          <cell r="E83">
            <v>9.9723866426991776</v>
          </cell>
        </row>
        <row r="84">
          <cell r="A84" t="str">
            <v>20:Q1</v>
          </cell>
          <cell r="B84">
            <v>6.1164559572042583</v>
          </cell>
          <cell r="C84">
            <v>8.4653498756938088</v>
          </cell>
          <cell r="D84">
            <v>11.054780996894085</v>
          </cell>
          <cell r="E84">
            <v>10.100373190492933</v>
          </cell>
        </row>
        <row r="85">
          <cell r="A85" t="str">
            <v>20:Q2</v>
          </cell>
          <cell r="B85">
            <v>4.4386667644262658</v>
          </cell>
          <cell r="C85">
            <v>6.0656634349543319</v>
          </cell>
          <cell r="D85">
            <v>7.9089346024827547</v>
          </cell>
          <cell r="E85">
            <v>7.6562533354482554</v>
          </cell>
        </row>
        <row r="86">
          <cell r="A86" t="str">
            <v>20:Q3</v>
          </cell>
          <cell r="B86">
            <v>2.8557745050770222</v>
          </cell>
          <cell r="C86">
            <v>3.9141921510559099</v>
          </cell>
          <cell r="D86">
            <v>5.2409763229122621</v>
          </cell>
          <cell r="E86">
            <v>5.7549808403129141</v>
          </cell>
        </row>
        <row r="87">
          <cell r="A87" t="str">
            <v>20:Q4</v>
          </cell>
          <cell r="B87">
            <v>1.2192628488548751</v>
          </cell>
          <cell r="C87">
            <v>2.4336277687038965</v>
          </cell>
          <cell r="D87">
            <v>3.3583142178594541</v>
          </cell>
          <cell r="E87">
            <v>4.2887766807976995</v>
          </cell>
        </row>
        <row r="88">
          <cell r="A88" t="str">
            <v>21:Q1</v>
          </cell>
          <cell r="B88">
            <v>0.1815514284814152</v>
          </cell>
          <cell r="C88">
            <v>0.56581166922531412</v>
          </cell>
          <cell r="D88">
            <v>1.3086669213767146</v>
          </cell>
          <cell r="E88">
            <v>2.2376141354307313</v>
          </cell>
        </row>
        <row r="89">
          <cell r="A89" t="str">
            <v>21:Q2</v>
          </cell>
          <cell r="B89">
            <v>0.18067636148409799</v>
          </cell>
          <cell r="C89">
            <v>0.52507435829982496</v>
          </cell>
          <cell r="D89">
            <v>1.40444533564131</v>
          </cell>
          <cell r="E89">
            <v>2.2100529681358001</v>
          </cell>
        </row>
        <row r="90">
          <cell r="A90" t="str">
            <v>21:Q3</v>
          </cell>
          <cell r="B90">
            <v>0.19650680913831006</v>
          </cell>
          <cell r="C90">
            <v>0.62784724932361047</v>
          </cell>
          <cell r="D90">
            <v>1.5377726405086172</v>
          </cell>
          <cell r="E90">
            <v>2.1705354299027126</v>
          </cell>
        </row>
        <row r="91">
          <cell r="A91" t="str">
            <v>21:Q4</v>
          </cell>
          <cell r="B91">
            <v>0.21615683074297734</v>
          </cell>
          <cell r="C91">
            <v>0.56339454093818564</v>
          </cell>
          <cell r="D91">
            <v>1.4482617539209384</v>
          </cell>
          <cell r="E91">
            <v>1.7428064654309641</v>
          </cell>
        </row>
        <row r="92">
          <cell r="A92" t="str">
            <v>22:Q1</v>
          </cell>
          <cell r="B92">
            <v>0.23</v>
          </cell>
          <cell r="C92">
            <v>0.56000000000000005</v>
          </cell>
          <cell r="D92">
            <v>1.43</v>
          </cell>
          <cell r="E92">
            <v>1.45</v>
          </cell>
        </row>
        <row r="93">
          <cell r="A93" t="str">
            <v>22:Q2</v>
          </cell>
          <cell r="B93">
            <v>0.22068064870015086</v>
          </cell>
          <cell r="C93">
            <v>0.66491491425149318</v>
          </cell>
          <cell r="D93">
            <v>1.472859394118289</v>
          </cell>
          <cell r="E93">
            <v>1.6897913066399997</v>
          </cell>
        </row>
        <row r="94">
          <cell r="A94" t="str">
            <v>22:Q3</v>
          </cell>
          <cell r="B94">
            <v>0.21399767974252204</v>
          </cell>
          <cell r="C94">
            <v>0.64118359487802867</v>
          </cell>
          <cell r="D94">
            <v>1.5073700878915364</v>
          </cell>
          <cell r="E94">
            <v>1.9115898885805747</v>
          </cell>
        </row>
        <row r="95">
          <cell r="A95" t="str">
            <v>22:Q4</v>
          </cell>
          <cell r="B95">
            <v>0.18327294964363952</v>
          </cell>
          <cell r="C95">
            <v>0.6551783349891207</v>
          </cell>
          <cell r="D95">
            <v>1.550970261513525</v>
          </cell>
          <cell r="E95">
            <v>1.7928068943974185</v>
          </cell>
        </row>
        <row r="96">
          <cell r="A96" t="str">
            <v>23:Q1</v>
          </cell>
          <cell r="B96">
            <v>0.21241443531160162</v>
          </cell>
          <cell r="C96">
            <v>0.62374230096946848</v>
          </cell>
          <cell r="D96">
            <v>1.422895568982778</v>
          </cell>
          <cell r="E96">
            <v>1.5793181702418138</v>
          </cell>
        </row>
        <row r="97">
          <cell r="A97" t="str">
            <v>23:Q2</v>
          </cell>
          <cell r="B97">
            <v>0.23218085076115785</v>
          </cell>
          <cell r="C97">
            <v>0.53659046248982911</v>
          </cell>
          <cell r="D97">
            <v>1.3175575454311244</v>
          </cell>
          <cell r="E97">
            <v>1.3756679669838796</v>
          </cell>
        </row>
        <row r="98">
          <cell r="A98" t="str">
            <v>23:Q3</v>
          </cell>
          <cell r="B98">
            <v>0.2522521311951727</v>
          </cell>
          <cell r="C98">
            <v>0.55083533366031778</v>
          </cell>
          <cell r="D98">
            <v>1.20121342189438</v>
          </cell>
          <cell r="E98">
            <v>1.1028636147613671</v>
          </cell>
        </row>
        <row r="99">
          <cell r="A99" t="str">
            <v>23:Q4</v>
          </cell>
          <cell r="B99">
            <v>0.31403159343986553</v>
          </cell>
          <cell r="C99">
            <v>0.48078620490956819</v>
          </cell>
          <cell r="D99">
            <v>1.0428005112105387</v>
          </cell>
          <cell r="E99">
            <v>1.3884557704338276</v>
          </cell>
        </row>
        <row r="100">
          <cell r="A100" t="str">
            <v>24:Q1</v>
          </cell>
          <cell r="B100">
            <v>0.30329650135160191</v>
          </cell>
          <cell r="C100">
            <v>0.40826348054400019</v>
          </cell>
          <cell r="D100">
            <v>1.0206751627178545</v>
          </cell>
          <cell r="E100">
            <v>1.3864301435239736</v>
          </cell>
        </row>
        <row r="101">
          <cell r="A101" t="str">
            <v>24:Q2</v>
          </cell>
          <cell r="B101">
            <v>0.34666642509956497</v>
          </cell>
          <cell r="C101">
            <v>0.41963182620067296</v>
          </cell>
          <cell r="D101">
            <v>0.92578124734866951</v>
          </cell>
          <cell r="E101">
            <v>1.4325278437328051</v>
          </cell>
        </row>
        <row r="102">
          <cell r="A102" t="str">
            <v>24:Q3</v>
          </cell>
          <cell r="B102">
            <v>0.3484515050861352</v>
          </cell>
          <cell r="C102">
            <v>0.32342511822579673</v>
          </cell>
          <cell r="D102">
            <v>0.88657046950184026</v>
          </cell>
          <cell r="E102">
            <v>1.6082566848535904</v>
          </cell>
        </row>
        <row r="103">
          <cell r="A103" t="str">
            <v>24:Q4</v>
          </cell>
          <cell r="B103">
            <v>0.27561350326593098</v>
          </cell>
          <cell r="C103">
            <v>0.28580427241483569</v>
          </cell>
          <cell r="D103">
            <v>0.88939061092223104</v>
          </cell>
          <cell r="E103">
            <v>1.4461428258153144</v>
          </cell>
        </row>
        <row r="104">
          <cell r="A104" t="str">
            <v>25:Q1</v>
          </cell>
          <cell r="B104">
            <v>3.9726318205206321</v>
          </cell>
          <cell r="C104">
            <v>7.5576419527264491</v>
          </cell>
          <cell r="D104">
            <v>9.0315883533480523</v>
          </cell>
          <cell r="E104">
            <v>11.225465826139393</v>
          </cell>
        </row>
        <row r="105">
          <cell r="A105" t="str">
            <v>25:Q2</v>
          </cell>
          <cell r="B105">
            <v>8.1249427840809343</v>
          </cell>
          <cell r="C105">
            <v>11.356554353184587</v>
          </cell>
          <cell r="D105">
            <v>13.572367368883345</v>
          </cell>
          <cell r="E105">
            <v>18.255247263639212</v>
          </cell>
        </row>
        <row r="106">
          <cell r="A106" t="str">
            <v>25:Q3</v>
          </cell>
          <cell r="B106">
            <v>9.2187021128303819</v>
          </cell>
          <cell r="C106">
            <v>12.824635459989059</v>
          </cell>
          <cell r="D106">
            <v>14.773500595979772</v>
          </cell>
          <cell r="E106">
            <v>19.915479870065706</v>
          </cell>
        </row>
        <row r="107">
          <cell r="A107" t="str">
            <v>25:Q4</v>
          </cell>
          <cell r="B107">
            <v>10.642385457135846</v>
          </cell>
          <cell r="C107">
            <v>14.588921627647219</v>
          </cell>
          <cell r="D107">
            <v>16.756390361185851</v>
          </cell>
          <cell r="E107">
            <v>22.415536003814843</v>
          </cell>
        </row>
        <row r="108">
          <cell r="A108" t="str">
            <v>26:Q1</v>
          </cell>
          <cell r="B108">
            <v>8.0267103956267594</v>
          </cell>
          <cell r="C108">
            <v>9.298829491972338</v>
          </cell>
          <cell r="D108">
            <v>10.906350247951636</v>
          </cell>
          <cell r="E108">
            <v>15.168999173048009</v>
          </cell>
        </row>
      </sheetData>
      <sheetData sheetId="51" refreshError="1"/>
      <sheetData sheetId="52">
        <row r="1">
          <cell r="A1" t="str">
            <v>New Foreclosures By Age</v>
          </cell>
        </row>
        <row r="2">
          <cell r="A2" t="str">
            <v>Thousands</v>
          </cell>
        </row>
        <row r="4">
          <cell r="A4" t="str">
            <v>quarter</v>
          </cell>
          <cell r="B4" t="str">
            <v>18-29</v>
          </cell>
          <cell r="C4" t="str">
            <v>30-39</v>
          </cell>
          <cell r="D4" t="str">
            <v>40-49</v>
          </cell>
          <cell r="E4" t="str">
            <v>50-59</v>
          </cell>
          <cell r="F4" t="str">
            <v>60-69</v>
          </cell>
          <cell r="G4" t="str">
            <v>70+</v>
          </cell>
        </row>
        <row r="5">
          <cell r="A5" t="str">
            <v>00:Q1</v>
          </cell>
          <cell r="B5">
            <v>16.260000000000002</v>
          </cell>
          <cell r="C5">
            <v>49.16</v>
          </cell>
          <cell r="D5">
            <v>49.88</v>
          </cell>
          <cell r="E5">
            <v>27.1</v>
          </cell>
          <cell r="F5">
            <v>8.82</v>
          </cell>
          <cell r="G5">
            <v>6.34</v>
          </cell>
        </row>
        <row r="6">
          <cell r="A6" t="str">
            <v>00:Q2</v>
          </cell>
          <cell r="B6">
            <v>12.14</v>
          </cell>
          <cell r="C6">
            <v>34.26</v>
          </cell>
          <cell r="D6">
            <v>39.299999999999997</v>
          </cell>
          <cell r="E6">
            <v>19.32</v>
          </cell>
          <cell r="F6">
            <v>7.32</v>
          </cell>
          <cell r="G6">
            <v>4.62</v>
          </cell>
        </row>
        <row r="7">
          <cell r="A7" t="str">
            <v>00:Q3</v>
          </cell>
          <cell r="B7">
            <v>14.14</v>
          </cell>
          <cell r="C7">
            <v>40.26</v>
          </cell>
          <cell r="D7">
            <v>40.98</v>
          </cell>
          <cell r="E7">
            <v>20.5</v>
          </cell>
          <cell r="F7">
            <v>7.14</v>
          </cell>
          <cell r="G7">
            <v>5.36</v>
          </cell>
        </row>
        <row r="8">
          <cell r="A8" t="str">
            <v>00:Q4</v>
          </cell>
          <cell r="B8">
            <v>16.079999999999998</v>
          </cell>
          <cell r="C8">
            <v>45.18</v>
          </cell>
          <cell r="D8">
            <v>46.38</v>
          </cell>
          <cell r="E8">
            <v>23.72</v>
          </cell>
          <cell r="F8">
            <v>7.04</v>
          </cell>
          <cell r="G8">
            <v>6.36</v>
          </cell>
        </row>
        <row r="9">
          <cell r="A9" t="str">
            <v>01:Q1</v>
          </cell>
          <cell r="B9">
            <v>15.42</v>
          </cell>
          <cell r="C9">
            <v>46.16</v>
          </cell>
          <cell r="D9">
            <v>49.22</v>
          </cell>
          <cell r="E9">
            <v>26.46</v>
          </cell>
          <cell r="F9">
            <v>8.74</v>
          </cell>
          <cell r="G9">
            <v>5.94</v>
          </cell>
        </row>
        <row r="10">
          <cell r="A10" t="str">
            <v>01:Q2</v>
          </cell>
          <cell r="B10">
            <v>14.52</v>
          </cell>
          <cell r="C10">
            <v>43.84</v>
          </cell>
          <cell r="D10">
            <v>47.8</v>
          </cell>
          <cell r="E10">
            <v>25.92</v>
          </cell>
          <cell r="F10">
            <v>8.6199999999999992</v>
          </cell>
          <cell r="G10">
            <v>6.1</v>
          </cell>
        </row>
        <row r="11">
          <cell r="A11" t="str">
            <v>01:Q3</v>
          </cell>
          <cell r="B11">
            <v>17.68</v>
          </cell>
          <cell r="C11">
            <v>48.38</v>
          </cell>
          <cell r="D11">
            <v>47.46</v>
          </cell>
          <cell r="E11">
            <v>26.08</v>
          </cell>
          <cell r="F11">
            <v>8.9600000000000009</v>
          </cell>
          <cell r="G11">
            <v>6.72</v>
          </cell>
        </row>
        <row r="12">
          <cell r="A12" t="str">
            <v>01:Q4</v>
          </cell>
          <cell r="B12">
            <v>19.04</v>
          </cell>
          <cell r="C12">
            <v>47.68</v>
          </cell>
          <cell r="D12">
            <v>49.52</v>
          </cell>
          <cell r="E12">
            <v>24.8</v>
          </cell>
          <cell r="F12">
            <v>7.68</v>
          </cell>
          <cell r="G12">
            <v>6.16</v>
          </cell>
        </row>
        <row r="13">
          <cell r="A13" t="str">
            <v>02:Q1</v>
          </cell>
          <cell r="B13">
            <v>23.86</v>
          </cell>
          <cell r="C13">
            <v>74.94</v>
          </cell>
          <cell r="D13">
            <v>81.38</v>
          </cell>
          <cell r="E13">
            <v>46.32</v>
          </cell>
          <cell r="F13">
            <v>14.84</v>
          </cell>
          <cell r="G13">
            <v>9.08</v>
          </cell>
        </row>
        <row r="14">
          <cell r="A14" t="str">
            <v>02:Q2</v>
          </cell>
          <cell r="B14">
            <v>15.44</v>
          </cell>
          <cell r="C14">
            <v>46.84</v>
          </cell>
          <cell r="D14">
            <v>52.22</v>
          </cell>
          <cell r="E14">
            <v>28.6</v>
          </cell>
          <cell r="F14">
            <v>9.52</v>
          </cell>
          <cell r="G14">
            <v>6.72</v>
          </cell>
        </row>
        <row r="15">
          <cell r="A15" t="str">
            <v>02:Q3</v>
          </cell>
          <cell r="B15">
            <v>19.14</v>
          </cell>
          <cell r="C15">
            <v>54.04</v>
          </cell>
          <cell r="D15">
            <v>53.36</v>
          </cell>
          <cell r="E15">
            <v>30.66</v>
          </cell>
          <cell r="F15">
            <v>9.9</v>
          </cell>
          <cell r="G15">
            <v>6.26</v>
          </cell>
        </row>
        <row r="16">
          <cell r="A16" t="str">
            <v>02:Q4</v>
          </cell>
          <cell r="B16">
            <v>20.48</v>
          </cell>
          <cell r="C16">
            <v>53.5</v>
          </cell>
          <cell r="D16">
            <v>54.94</v>
          </cell>
          <cell r="E16">
            <v>30.26</v>
          </cell>
          <cell r="F16">
            <v>9.44</v>
          </cell>
          <cell r="G16">
            <v>6.38</v>
          </cell>
        </row>
        <row r="17">
          <cell r="A17" t="str">
            <v>03:Q1</v>
          </cell>
          <cell r="B17">
            <v>18.88</v>
          </cell>
          <cell r="C17">
            <v>58.14</v>
          </cell>
          <cell r="D17">
            <v>62.46</v>
          </cell>
          <cell r="E17">
            <v>33.56</v>
          </cell>
          <cell r="F17">
            <v>10.7</v>
          </cell>
          <cell r="G17">
            <v>6.56</v>
          </cell>
        </row>
        <row r="18">
          <cell r="A18" t="str">
            <v>03:Q2</v>
          </cell>
          <cell r="B18">
            <v>15.72</v>
          </cell>
          <cell r="C18">
            <v>46.16</v>
          </cell>
          <cell r="D18">
            <v>51.14</v>
          </cell>
          <cell r="E18">
            <v>29.02</v>
          </cell>
          <cell r="F18">
            <v>10.3</v>
          </cell>
          <cell r="G18">
            <v>6.36</v>
          </cell>
        </row>
        <row r="19">
          <cell r="A19" t="str">
            <v>03:Q3</v>
          </cell>
          <cell r="B19">
            <v>16.2</v>
          </cell>
          <cell r="C19">
            <v>49.3</v>
          </cell>
          <cell r="D19">
            <v>53.94</v>
          </cell>
          <cell r="E19">
            <v>30.6</v>
          </cell>
          <cell r="F19">
            <v>10.1</v>
          </cell>
          <cell r="G19">
            <v>6.9</v>
          </cell>
        </row>
        <row r="20">
          <cell r="A20" t="str">
            <v>03:Q4</v>
          </cell>
          <cell r="B20">
            <v>19.22</v>
          </cell>
          <cell r="C20">
            <v>53.04</v>
          </cell>
          <cell r="D20">
            <v>57.68</v>
          </cell>
          <cell r="E20">
            <v>32.4</v>
          </cell>
          <cell r="F20">
            <v>11.54</v>
          </cell>
          <cell r="G20">
            <v>6.42</v>
          </cell>
        </row>
        <row r="21">
          <cell r="A21" t="str">
            <v>04:Q1</v>
          </cell>
          <cell r="B21">
            <v>15.84</v>
          </cell>
          <cell r="C21">
            <v>50.96</v>
          </cell>
          <cell r="D21">
            <v>56.14</v>
          </cell>
          <cell r="E21">
            <v>33.24</v>
          </cell>
          <cell r="F21">
            <v>11.12</v>
          </cell>
          <cell r="G21">
            <v>7.06</v>
          </cell>
        </row>
        <row r="22">
          <cell r="A22" t="str">
            <v>04:Q2</v>
          </cell>
          <cell r="B22">
            <v>14.86</v>
          </cell>
          <cell r="C22">
            <v>45.02</v>
          </cell>
          <cell r="D22">
            <v>51.74</v>
          </cell>
          <cell r="E22">
            <v>30.88</v>
          </cell>
          <cell r="F22">
            <v>10</v>
          </cell>
          <cell r="G22">
            <v>6.56</v>
          </cell>
        </row>
        <row r="23">
          <cell r="A23" t="str">
            <v>04:Q3</v>
          </cell>
          <cell r="B23">
            <v>16.96</v>
          </cell>
          <cell r="C23">
            <v>45.7</v>
          </cell>
          <cell r="D23">
            <v>49.24</v>
          </cell>
          <cell r="E23">
            <v>30.06</v>
          </cell>
          <cell r="F23">
            <v>10.58</v>
          </cell>
          <cell r="G23">
            <v>6.14</v>
          </cell>
        </row>
        <row r="24">
          <cell r="A24" t="str">
            <v>04:Q4</v>
          </cell>
          <cell r="B24">
            <v>20.420000000000002</v>
          </cell>
          <cell r="C24">
            <v>54</v>
          </cell>
          <cell r="D24">
            <v>55.36</v>
          </cell>
          <cell r="E24">
            <v>30.2</v>
          </cell>
          <cell r="F24">
            <v>10.64</v>
          </cell>
          <cell r="G24">
            <v>6.36</v>
          </cell>
        </row>
        <row r="25">
          <cell r="A25" t="str">
            <v>05:Q1</v>
          </cell>
          <cell r="B25">
            <v>15.46</v>
          </cell>
          <cell r="C25">
            <v>47.18</v>
          </cell>
          <cell r="D25">
            <v>52.04</v>
          </cell>
          <cell r="E25">
            <v>31.98</v>
          </cell>
          <cell r="F25">
            <v>11.48</v>
          </cell>
          <cell r="G25">
            <v>7.08</v>
          </cell>
        </row>
        <row r="26">
          <cell r="A26" t="str">
            <v>05:Q2</v>
          </cell>
          <cell r="B26">
            <v>13.3</v>
          </cell>
          <cell r="C26">
            <v>41.7</v>
          </cell>
          <cell r="D26">
            <v>46.12</v>
          </cell>
          <cell r="E26">
            <v>27.3</v>
          </cell>
          <cell r="F26">
            <v>9.5399999999999991</v>
          </cell>
          <cell r="G26">
            <v>6.46</v>
          </cell>
        </row>
        <row r="27">
          <cell r="A27" t="str">
            <v>05:Q3</v>
          </cell>
          <cell r="B27">
            <v>16.78</v>
          </cell>
          <cell r="C27">
            <v>43.68</v>
          </cell>
          <cell r="D27">
            <v>48.66</v>
          </cell>
          <cell r="E27">
            <v>29.64</v>
          </cell>
          <cell r="F27">
            <v>8.9</v>
          </cell>
          <cell r="G27">
            <v>6.38</v>
          </cell>
        </row>
        <row r="28">
          <cell r="A28" t="str">
            <v>05:Q4</v>
          </cell>
          <cell r="B28">
            <v>18.760000000000002</v>
          </cell>
          <cell r="C28">
            <v>47.4</v>
          </cell>
          <cell r="D28">
            <v>50.3</v>
          </cell>
          <cell r="E28">
            <v>29.62</v>
          </cell>
          <cell r="F28">
            <v>10.8</v>
          </cell>
          <cell r="G28">
            <v>6.48</v>
          </cell>
        </row>
        <row r="29">
          <cell r="A29" t="str">
            <v>06:Q1</v>
          </cell>
          <cell r="B29">
            <v>17.14</v>
          </cell>
          <cell r="C29">
            <v>48.92</v>
          </cell>
          <cell r="D29">
            <v>52.66</v>
          </cell>
          <cell r="E29">
            <v>32.72</v>
          </cell>
          <cell r="F29">
            <v>11.46</v>
          </cell>
          <cell r="G29">
            <v>7.04</v>
          </cell>
        </row>
        <row r="30">
          <cell r="A30" t="str">
            <v>06:Q2</v>
          </cell>
          <cell r="B30">
            <v>18.18</v>
          </cell>
          <cell r="C30">
            <v>48.62</v>
          </cell>
          <cell r="D30">
            <v>55.7</v>
          </cell>
          <cell r="E30">
            <v>33.96</v>
          </cell>
          <cell r="F30">
            <v>12.78</v>
          </cell>
          <cell r="G30">
            <v>7.02</v>
          </cell>
        </row>
        <row r="31">
          <cell r="A31" t="str">
            <v>06:Q3</v>
          </cell>
          <cell r="B31">
            <v>21.06</v>
          </cell>
          <cell r="C31">
            <v>55.06</v>
          </cell>
          <cell r="D31">
            <v>56.6</v>
          </cell>
          <cell r="E31">
            <v>34.42</v>
          </cell>
          <cell r="F31">
            <v>11.62</v>
          </cell>
          <cell r="G31">
            <v>7.24</v>
          </cell>
        </row>
        <row r="32">
          <cell r="A32" t="str">
            <v>06:Q4</v>
          </cell>
          <cell r="B32">
            <v>26.9</v>
          </cell>
          <cell r="C32">
            <v>65.180000000000007</v>
          </cell>
          <cell r="D32">
            <v>66.92</v>
          </cell>
          <cell r="E32">
            <v>37.32</v>
          </cell>
          <cell r="F32">
            <v>14.02</v>
          </cell>
          <cell r="G32">
            <v>7.3</v>
          </cell>
        </row>
        <row r="33">
          <cell r="A33" t="str">
            <v>07:Q1</v>
          </cell>
          <cell r="B33">
            <v>28.56</v>
          </cell>
          <cell r="C33">
            <v>78.900000000000006</v>
          </cell>
          <cell r="D33">
            <v>82.04</v>
          </cell>
          <cell r="E33">
            <v>48.86</v>
          </cell>
          <cell r="F33">
            <v>17.600000000000001</v>
          </cell>
          <cell r="G33">
            <v>8.8599999999999905</v>
          </cell>
        </row>
        <row r="34">
          <cell r="A34" t="str">
            <v>07:Q2</v>
          </cell>
          <cell r="B34">
            <v>27.58</v>
          </cell>
          <cell r="C34">
            <v>70.52</v>
          </cell>
          <cell r="D34">
            <v>75.5</v>
          </cell>
          <cell r="E34">
            <v>44.16</v>
          </cell>
          <cell r="F34">
            <v>16.38</v>
          </cell>
          <cell r="G34">
            <v>7.62</v>
          </cell>
        </row>
        <row r="35">
          <cell r="A35" t="str">
            <v>07:Q3</v>
          </cell>
          <cell r="B35">
            <v>36.36</v>
          </cell>
          <cell r="C35">
            <v>99.14</v>
          </cell>
          <cell r="D35">
            <v>96.28</v>
          </cell>
          <cell r="E35">
            <v>58.88</v>
          </cell>
          <cell r="F35">
            <v>19.899999999999999</v>
          </cell>
          <cell r="G35">
            <v>9.9600000000000009</v>
          </cell>
        </row>
        <row r="36">
          <cell r="A36" t="str">
            <v>07:Q4</v>
          </cell>
          <cell r="B36">
            <v>41.2</v>
          </cell>
          <cell r="C36">
            <v>109.22</v>
          </cell>
          <cell r="D36">
            <v>101.94</v>
          </cell>
          <cell r="E36">
            <v>60.52</v>
          </cell>
          <cell r="F36">
            <v>20.82</v>
          </cell>
          <cell r="G36">
            <v>9.64</v>
          </cell>
        </row>
        <row r="37">
          <cell r="A37" t="str">
            <v>08:Q1</v>
          </cell>
          <cell r="B37">
            <v>42.28</v>
          </cell>
          <cell r="C37">
            <v>130.04</v>
          </cell>
          <cell r="D37">
            <v>130.30000000000001</v>
          </cell>
          <cell r="E37">
            <v>78.86</v>
          </cell>
          <cell r="F37">
            <v>29.68</v>
          </cell>
          <cell r="G37">
            <v>12.86</v>
          </cell>
        </row>
        <row r="38">
          <cell r="A38" t="str">
            <v>08:Q2</v>
          </cell>
          <cell r="B38">
            <v>45.32</v>
          </cell>
          <cell r="C38">
            <v>136.63999999999999</v>
          </cell>
          <cell r="D38">
            <v>137.68</v>
          </cell>
          <cell r="E38">
            <v>84.48</v>
          </cell>
          <cell r="F38">
            <v>32.24</v>
          </cell>
          <cell r="G38">
            <v>13.72</v>
          </cell>
        </row>
        <row r="39">
          <cell r="A39" t="str">
            <v>08:Q3</v>
          </cell>
          <cell r="B39">
            <v>46.24</v>
          </cell>
          <cell r="C39">
            <v>132.24</v>
          </cell>
          <cell r="D39">
            <v>134.44</v>
          </cell>
          <cell r="E39">
            <v>81.34</v>
          </cell>
          <cell r="F39">
            <v>32.72</v>
          </cell>
          <cell r="G39">
            <v>13.8</v>
          </cell>
        </row>
        <row r="40">
          <cell r="A40" t="str">
            <v>08:Q4</v>
          </cell>
          <cell r="B40">
            <v>43.02</v>
          </cell>
          <cell r="C40">
            <v>123.94</v>
          </cell>
          <cell r="D40">
            <v>129.63999999999999</v>
          </cell>
          <cell r="E40">
            <v>79.7</v>
          </cell>
          <cell r="F40">
            <v>29.5</v>
          </cell>
          <cell r="G40">
            <v>12.08</v>
          </cell>
        </row>
        <row r="41">
          <cell r="A41" t="str">
            <v>09:Q1</v>
          </cell>
          <cell r="B41">
            <v>38.46</v>
          </cell>
          <cell r="C41">
            <v>144.41999999999999</v>
          </cell>
          <cell r="D41">
            <v>159.46</v>
          </cell>
          <cell r="E41">
            <v>107.14</v>
          </cell>
          <cell r="F41">
            <v>43.52</v>
          </cell>
          <cell r="G41">
            <v>19.34</v>
          </cell>
        </row>
        <row r="42">
          <cell r="A42" t="str">
            <v>09:Q2</v>
          </cell>
          <cell r="B42">
            <v>43.36</v>
          </cell>
          <cell r="C42">
            <v>154.36000000000001</v>
          </cell>
          <cell r="D42">
            <v>176.54</v>
          </cell>
          <cell r="E42">
            <v>119.5</v>
          </cell>
          <cell r="F42">
            <v>50.16</v>
          </cell>
          <cell r="G42">
            <v>19.48</v>
          </cell>
        </row>
        <row r="43">
          <cell r="A43" t="str">
            <v>09:Q3</v>
          </cell>
          <cell r="B43">
            <v>37.6</v>
          </cell>
          <cell r="C43">
            <v>133.54</v>
          </cell>
          <cell r="D43">
            <v>150.30000000000001</v>
          </cell>
          <cell r="E43">
            <v>103.16</v>
          </cell>
          <cell r="F43">
            <v>43.68</v>
          </cell>
          <cell r="G43">
            <v>17.86</v>
          </cell>
        </row>
        <row r="44">
          <cell r="A44" t="str">
            <v>09:Q4</v>
          </cell>
          <cell r="B44">
            <v>37.6</v>
          </cell>
          <cell r="C44">
            <v>130.36000000000001</v>
          </cell>
          <cell r="D44">
            <v>139.38</v>
          </cell>
          <cell r="E44">
            <v>100.26</v>
          </cell>
          <cell r="F44">
            <v>39.82</v>
          </cell>
          <cell r="G44">
            <v>16.239999999999998</v>
          </cell>
        </row>
        <row r="45">
          <cell r="A45" t="str">
            <v>10:Q1</v>
          </cell>
          <cell r="B45">
            <v>28.46</v>
          </cell>
          <cell r="C45">
            <v>116.34</v>
          </cell>
          <cell r="D45">
            <v>142.91999999999999</v>
          </cell>
          <cell r="E45">
            <v>102.6</v>
          </cell>
          <cell r="F45">
            <v>45.24</v>
          </cell>
          <cell r="G45">
            <v>18.86</v>
          </cell>
        </row>
        <row r="46">
          <cell r="A46" t="str">
            <v>10:Q2</v>
          </cell>
          <cell r="B46">
            <v>30.98</v>
          </cell>
          <cell r="C46">
            <v>122.46</v>
          </cell>
          <cell r="D46">
            <v>148.12</v>
          </cell>
          <cell r="E46">
            <v>108.9</v>
          </cell>
          <cell r="F46">
            <v>49.78</v>
          </cell>
          <cell r="G46">
            <v>21.36</v>
          </cell>
        </row>
        <row r="47">
          <cell r="A47" t="str">
            <v>10:Q3</v>
          </cell>
          <cell r="B47">
            <v>28.68</v>
          </cell>
          <cell r="C47">
            <v>118.02</v>
          </cell>
          <cell r="D47">
            <v>140.84</v>
          </cell>
          <cell r="E47">
            <v>103.96</v>
          </cell>
          <cell r="F47">
            <v>45.56</v>
          </cell>
          <cell r="G47">
            <v>18.46</v>
          </cell>
        </row>
        <row r="48">
          <cell r="A48" t="str">
            <v>10:Q4</v>
          </cell>
          <cell r="B48">
            <v>30.24</v>
          </cell>
          <cell r="C48">
            <v>114.88</v>
          </cell>
          <cell r="D48">
            <v>136.78</v>
          </cell>
          <cell r="E48">
            <v>99.9</v>
          </cell>
          <cell r="F48">
            <v>44.58</v>
          </cell>
          <cell r="G48">
            <v>18.7</v>
          </cell>
        </row>
        <row r="49">
          <cell r="A49" t="str">
            <v>11:Q1</v>
          </cell>
          <cell r="B49">
            <v>18.559999999999999</v>
          </cell>
          <cell r="C49">
            <v>91.46</v>
          </cell>
          <cell r="D49">
            <v>113.54</v>
          </cell>
          <cell r="E49">
            <v>86.44</v>
          </cell>
          <cell r="F49">
            <v>39.380000000000003</v>
          </cell>
          <cell r="G49">
            <v>17.420000000000002</v>
          </cell>
        </row>
        <row r="50">
          <cell r="A50" t="str">
            <v>11:Q2</v>
          </cell>
          <cell r="B50">
            <v>13.36</v>
          </cell>
          <cell r="C50">
            <v>68.959999999999994</v>
          </cell>
          <cell r="D50">
            <v>86.3</v>
          </cell>
          <cell r="E50">
            <v>67.760000000000005</v>
          </cell>
          <cell r="F50">
            <v>33.1</v>
          </cell>
          <cell r="G50">
            <v>13.56</v>
          </cell>
        </row>
        <row r="51">
          <cell r="A51" t="str">
            <v>11:Q3</v>
          </cell>
          <cell r="B51">
            <v>13.06</v>
          </cell>
          <cell r="C51">
            <v>62.14</v>
          </cell>
          <cell r="D51">
            <v>83.94</v>
          </cell>
          <cell r="E51">
            <v>61.54</v>
          </cell>
          <cell r="F51">
            <v>29.18</v>
          </cell>
          <cell r="G51">
            <v>13.34</v>
          </cell>
        </row>
        <row r="52">
          <cell r="A52" t="str">
            <v>11:Q4</v>
          </cell>
          <cell r="B52">
            <v>15.38</v>
          </cell>
          <cell r="C52">
            <v>71.08</v>
          </cell>
          <cell r="D52">
            <v>88.28</v>
          </cell>
          <cell r="E52">
            <v>66.819999999999993</v>
          </cell>
          <cell r="F52">
            <v>32.36</v>
          </cell>
          <cell r="G52">
            <v>14.66</v>
          </cell>
        </row>
        <row r="53">
          <cell r="A53" t="str">
            <v>12:Q1</v>
          </cell>
          <cell r="B53">
            <v>11.42</v>
          </cell>
          <cell r="C53">
            <v>67.680000000000007</v>
          </cell>
          <cell r="D53">
            <v>88.32</v>
          </cell>
          <cell r="E53">
            <v>69.48</v>
          </cell>
          <cell r="F53">
            <v>34.979999999999997</v>
          </cell>
          <cell r="G53">
            <v>18.54</v>
          </cell>
        </row>
        <row r="54">
          <cell r="A54" t="str">
            <v>12:Q2</v>
          </cell>
          <cell r="B54">
            <v>11.36</v>
          </cell>
          <cell r="C54">
            <v>60.56</v>
          </cell>
          <cell r="D54">
            <v>75.14</v>
          </cell>
          <cell r="E54">
            <v>60.8</v>
          </cell>
          <cell r="F54">
            <v>31.54</v>
          </cell>
          <cell r="G54">
            <v>15.5</v>
          </cell>
        </row>
        <row r="55">
          <cell r="A55" t="str">
            <v>12:Q3</v>
          </cell>
          <cell r="B55">
            <v>11.04</v>
          </cell>
          <cell r="C55">
            <v>56.02</v>
          </cell>
          <cell r="D55">
            <v>73.040000000000006</v>
          </cell>
          <cell r="E55">
            <v>56.94</v>
          </cell>
          <cell r="F55">
            <v>29.68</v>
          </cell>
          <cell r="G55">
            <v>14.26</v>
          </cell>
        </row>
        <row r="56">
          <cell r="A56" t="str">
            <v>12:Q4</v>
          </cell>
          <cell r="B56">
            <v>9.66</v>
          </cell>
          <cell r="C56">
            <v>50.88</v>
          </cell>
          <cell r="D56">
            <v>59.58</v>
          </cell>
          <cell r="E56">
            <v>49.34</v>
          </cell>
          <cell r="F56">
            <v>26.16</v>
          </cell>
          <cell r="G56">
            <v>13.22</v>
          </cell>
        </row>
        <row r="57">
          <cell r="A57" t="str">
            <v>13:Q1</v>
          </cell>
          <cell r="B57">
            <v>6.84</v>
          </cell>
          <cell r="C57">
            <v>40.159999999999997</v>
          </cell>
          <cell r="D57">
            <v>53.88</v>
          </cell>
          <cell r="E57">
            <v>45.12</v>
          </cell>
          <cell r="F57">
            <v>23.88</v>
          </cell>
          <cell r="G57">
            <v>12.76</v>
          </cell>
        </row>
        <row r="58">
          <cell r="A58" t="str">
            <v>13:Q2</v>
          </cell>
          <cell r="B58">
            <v>6.66</v>
          </cell>
          <cell r="C58">
            <v>41.66</v>
          </cell>
          <cell r="D58">
            <v>60.2</v>
          </cell>
          <cell r="E58">
            <v>50.36</v>
          </cell>
          <cell r="F58">
            <v>25.98</v>
          </cell>
          <cell r="G58">
            <v>14.16</v>
          </cell>
        </row>
        <row r="59">
          <cell r="A59" t="str">
            <v>13:Q3</v>
          </cell>
          <cell r="B59">
            <v>6.56</v>
          </cell>
          <cell r="C59">
            <v>35.5</v>
          </cell>
          <cell r="D59">
            <v>48.34</v>
          </cell>
          <cell r="E59">
            <v>42.5</v>
          </cell>
          <cell r="F59">
            <v>22.34</v>
          </cell>
          <cell r="G59">
            <v>11.8</v>
          </cell>
        </row>
        <row r="60">
          <cell r="A60" t="str">
            <v>13:Q4</v>
          </cell>
          <cell r="B60">
            <v>7.64</v>
          </cell>
          <cell r="C60">
            <v>34.799999999999997</v>
          </cell>
          <cell r="D60">
            <v>46.52</v>
          </cell>
          <cell r="E60">
            <v>37.119999999999997</v>
          </cell>
          <cell r="F60">
            <v>20.14</v>
          </cell>
          <cell r="G60">
            <v>10.7</v>
          </cell>
        </row>
        <row r="61">
          <cell r="A61" t="str">
            <v>14:Q1</v>
          </cell>
          <cell r="B61">
            <v>4.68</v>
          </cell>
          <cell r="C61">
            <v>30.78</v>
          </cell>
          <cell r="D61">
            <v>43.7</v>
          </cell>
          <cell r="E61">
            <v>36.979999999999997</v>
          </cell>
          <cell r="F61">
            <v>17.920000000000002</v>
          </cell>
          <cell r="G61">
            <v>10.44</v>
          </cell>
        </row>
        <row r="62">
          <cell r="A62" t="str">
            <v>14:Q2</v>
          </cell>
          <cell r="B62">
            <v>3.3</v>
          </cell>
          <cell r="C62">
            <v>23.7</v>
          </cell>
          <cell r="D62">
            <v>33.28</v>
          </cell>
          <cell r="E62">
            <v>28.16</v>
          </cell>
          <cell r="F62">
            <v>16.7</v>
          </cell>
          <cell r="G62">
            <v>10.16</v>
          </cell>
        </row>
        <row r="63">
          <cell r="A63" t="str">
            <v>14:Q3</v>
          </cell>
          <cell r="B63">
            <v>3.28</v>
          </cell>
          <cell r="C63">
            <v>22.2</v>
          </cell>
          <cell r="D63">
            <v>32.68</v>
          </cell>
          <cell r="E63">
            <v>29.04</v>
          </cell>
          <cell r="F63">
            <v>15.8</v>
          </cell>
          <cell r="G63">
            <v>9.7799999999999905</v>
          </cell>
        </row>
        <row r="64">
          <cell r="A64" t="str">
            <v>14:Q4</v>
          </cell>
          <cell r="B64">
            <v>4.24</v>
          </cell>
          <cell r="C64">
            <v>24.94</v>
          </cell>
          <cell r="D64">
            <v>35.74</v>
          </cell>
          <cell r="E64">
            <v>30.1</v>
          </cell>
          <cell r="F64">
            <v>16.18</v>
          </cell>
          <cell r="G64">
            <v>10.36</v>
          </cell>
        </row>
        <row r="65">
          <cell r="A65" t="str">
            <v>15:Q1</v>
          </cell>
          <cell r="B65">
            <v>3.24</v>
          </cell>
          <cell r="C65">
            <v>23.04</v>
          </cell>
          <cell r="D65">
            <v>33.56</v>
          </cell>
          <cell r="E65">
            <v>27.96</v>
          </cell>
          <cell r="F65">
            <v>14.94</v>
          </cell>
          <cell r="G65">
            <v>9.08</v>
          </cell>
        </row>
        <row r="66">
          <cell r="A66" t="str">
            <v>15:Q2</v>
          </cell>
          <cell r="B66">
            <v>2.88</v>
          </cell>
          <cell r="C66">
            <v>19.079999999999998</v>
          </cell>
          <cell r="D66">
            <v>27.68</v>
          </cell>
          <cell r="E66">
            <v>23.4</v>
          </cell>
          <cell r="F66">
            <v>13.3</v>
          </cell>
          <cell r="G66">
            <v>8.52</v>
          </cell>
        </row>
        <row r="67">
          <cell r="A67" t="str">
            <v>15:Q3</v>
          </cell>
          <cell r="B67">
            <v>3.28</v>
          </cell>
          <cell r="C67">
            <v>18.399999999999999</v>
          </cell>
          <cell r="D67">
            <v>26.04</v>
          </cell>
          <cell r="E67">
            <v>22.86</v>
          </cell>
          <cell r="F67">
            <v>13.42</v>
          </cell>
          <cell r="G67">
            <v>8.16</v>
          </cell>
        </row>
        <row r="68">
          <cell r="A68" t="str">
            <v>15:Q4</v>
          </cell>
          <cell r="B68">
            <v>3.58</v>
          </cell>
          <cell r="C68">
            <v>20.2</v>
          </cell>
          <cell r="D68">
            <v>30.98</v>
          </cell>
          <cell r="E68">
            <v>27.02</v>
          </cell>
          <cell r="F68">
            <v>13.94</v>
          </cell>
          <cell r="G68">
            <v>8.14</v>
          </cell>
        </row>
        <row r="69">
          <cell r="A69" t="str">
            <v>16:Q1</v>
          </cell>
          <cell r="B69">
            <v>2.86</v>
          </cell>
          <cell r="C69">
            <v>17.760000000000002</v>
          </cell>
          <cell r="D69">
            <v>26.76</v>
          </cell>
          <cell r="E69">
            <v>25.58</v>
          </cell>
          <cell r="F69">
            <v>14.28</v>
          </cell>
          <cell r="G69">
            <v>9.44</v>
          </cell>
        </row>
        <row r="70">
          <cell r="A70" t="str">
            <v>16:Q2</v>
          </cell>
          <cell r="B70">
            <v>2.38</v>
          </cell>
          <cell r="C70">
            <v>15.6</v>
          </cell>
          <cell r="D70">
            <v>23.14</v>
          </cell>
          <cell r="E70">
            <v>20.440000000000001</v>
          </cell>
          <cell r="F70">
            <v>12.76</v>
          </cell>
          <cell r="G70">
            <v>8.3599999999999905</v>
          </cell>
        </row>
        <row r="71">
          <cell r="A71" t="str">
            <v>16:Q3</v>
          </cell>
          <cell r="B71">
            <v>2.72</v>
          </cell>
          <cell r="C71">
            <v>15.48</v>
          </cell>
          <cell r="D71">
            <v>22.36</v>
          </cell>
          <cell r="E71">
            <v>19.64</v>
          </cell>
          <cell r="F71">
            <v>11.86</v>
          </cell>
          <cell r="G71">
            <v>8.3599999999999905</v>
          </cell>
        </row>
        <row r="72">
          <cell r="A72" t="str">
            <v>16:Q4</v>
          </cell>
          <cell r="B72">
            <v>3.04</v>
          </cell>
          <cell r="C72">
            <v>15.4</v>
          </cell>
          <cell r="D72">
            <v>22.56</v>
          </cell>
          <cell r="E72">
            <v>19.34</v>
          </cell>
          <cell r="F72">
            <v>9.98</v>
          </cell>
          <cell r="G72">
            <v>8.2799999999999905</v>
          </cell>
        </row>
        <row r="73">
          <cell r="A73" t="str">
            <v>17:Q1</v>
          </cell>
          <cell r="B73">
            <v>2.7</v>
          </cell>
          <cell r="C73">
            <v>17.420000000000002</v>
          </cell>
          <cell r="D73">
            <v>25.3</v>
          </cell>
          <cell r="E73">
            <v>23.04</v>
          </cell>
          <cell r="F73">
            <v>13.06</v>
          </cell>
          <cell r="G73">
            <v>8.94</v>
          </cell>
        </row>
        <row r="74">
          <cell r="A74" t="str">
            <v>17:Q2</v>
          </cell>
          <cell r="B74">
            <v>2.12</v>
          </cell>
          <cell r="C74">
            <v>14.46</v>
          </cell>
          <cell r="D74">
            <v>22.5</v>
          </cell>
          <cell r="E74">
            <v>22.26</v>
          </cell>
          <cell r="F74">
            <v>13.3</v>
          </cell>
          <cell r="G74">
            <v>10</v>
          </cell>
        </row>
        <row r="75">
          <cell r="A75" t="str">
            <v>17:Q3</v>
          </cell>
          <cell r="B75">
            <v>2.36</v>
          </cell>
          <cell r="C75">
            <v>12.74</v>
          </cell>
          <cell r="D75">
            <v>18.059999999999999</v>
          </cell>
          <cell r="E75">
            <v>17.82</v>
          </cell>
          <cell r="F75">
            <v>10.96</v>
          </cell>
          <cell r="G75">
            <v>7.58</v>
          </cell>
        </row>
        <row r="76">
          <cell r="A76" t="str">
            <v>17:Q4</v>
          </cell>
          <cell r="B76">
            <v>2.7</v>
          </cell>
          <cell r="C76">
            <v>12.96</v>
          </cell>
          <cell r="D76">
            <v>18.920000000000002</v>
          </cell>
          <cell r="E76">
            <v>17.66</v>
          </cell>
          <cell r="F76">
            <v>9.42</v>
          </cell>
          <cell r="G76">
            <v>7.32</v>
          </cell>
        </row>
        <row r="77">
          <cell r="A77" t="str">
            <v>18:Q1</v>
          </cell>
          <cell r="B77">
            <v>2.36</v>
          </cell>
          <cell r="C77">
            <v>13.86</v>
          </cell>
          <cell r="D77">
            <v>21.84</v>
          </cell>
          <cell r="E77">
            <v>18.68</v>
          </cell>
          <cell r="F77">
            <v>11.46</v>
          </cell>
          <cell r="G77">
            <v>8.16</v>
          </cell>
        </row>
        <row r="78">
          <cell r="A78" t="str">
            <v>18:Q2</v>
          </cell>
          <cell r="B78">
            <v>2.78</v>
          </cell>
          <cell r="C78">
            <v>13.16</v>
          </cell>
          <cell r="D78">
            <v>19.54</v>
          </cell>
          <cell r="E78">
            <v>19.52</v>
          </cell>
          <cell r="F78">
            <v>11.8</v>
          </cell>
          <cell r="G78">
            <v>8.66</v>
          </cell>
        </row>
        <row r="79">
          <cell r="A79" t="str">
            <v>18:Q3</v>
          </cell>
          <cell r="B79">
            <v>2.34</v>
          </cell>
          <cell r="C79">
            <v>11.68</v>
          </cell>
          <cell r="D79">
            <v>15.88</v>
          </cell>
          <cell r="E79">
            <v>16.14</v>
          </cell>
          <cell r="F79">
            <v>10.1</v>
          </cell>
          <cell r="G79">
            <v>8.14</v>
          </cell>
        </row>
        <row r="80">
          <cell r="A80" t="str">
            <v>18:Q4</v>
          </cell>
          <cell r="B80">
            <v>2.92</v>
          </cell>
          <cell r="C80">
            <v>12.46</v>
          </cell>
          <cell r="D80">
            <v>19.12</v>
          </cell>
          <cell r="E80">
            <v>16.64</v>
          </cell>
          <cell r="F80">
            <v>9.66</v>
          </cell>
          <cell r="G80">
            <v>7.06</v>
          </cell>
        </row>
        <row r="81">
          <cell r="A81" t="str">
            <v>19:Q1</v>
          </cell>
          <cell r="B81">
            <v>2.92</v>
          </cell>
          <cell r="C81">
            <v>12.280000000000001</v>
          </cell>
          <cell r="D81">
            <v>20</v>
          </cell>
          <cell r="E81">
            <v>16.64</v>
          </cell>
          <cell r="F81">
            <v>11.28</v>
          </cell>
          <cell r="G81">
            <v>7.92</v>
          </cell>
        </row>
        <row r="82">
          <cell r="A82" t="str">
            <v>19:Q2</v>
          </cell>
          <cell r="B82">
            <v>2.68</v>
          </cell>
          <cell r="C82">
            <v>12.3</v>
          </cell>
          <cell r="D82">
            <v>17.2</v>
          </cell>
          <cell r="E82">
            <v>16.04</v>
          </cell>
          <cell r="F82">
            <v>9.6</v>
          </cell>
          <cell r="G82">
            <v>8.1</v>
          </cell>
        </row>
        <row r="83">
          <cell r="A83" t="str">
            <v>19:Q3</v>
          </cell>
          <cell r="B83">
            <v>2.68</v>
          </cell>
          <cell r="C83">
            <v>10.58</v>
          </cell>
          <cell r="D83">
            <v>17.440000000000001</v>
          </cell>
          <cell r="E83">
            <v>16.34</v>
          </cell>
          <cell r="F83">
            <v>9.8000000000000007</v>
          </cell>
          <cell r="G83">
            <v>7.72</v>
          </cell>
        </row>
        <row r="84">
          <cell r="A84" t="str">
            <v>19:Q4</v>
          </cell>
          <cell r="B84">
            <v>2.7800000000000002</v>
          </cell>
          <cell r="C84">
            <v>13.5</v>
          </cell>
          <cell r="D84">
            <v>19.080000000000002</v>
          </cell>
          <cell r="E84">
            <v>17.260000000000002</v>
          </cell>
          <cell r="F84">
            <v>10.24</v>
          </cell>
          <cell r="G84">
            <v>8.4600000000000009</v>
          </cell>
        </row>
        <row r="85">
          <cell r="A85" t="str">
            <v>20:Q1</v>
          </cell>
          <cell r="B85">
            <v>2.58</v>
          </cell>
          <cell r="C85">
            <v>14.36</v>
          </cell>
          <cell r="D85">
            <v>20.3</v>
          </cell>
          <cell r="E85">
            <v>17.98</v>
          </cell>
          <cell r="F85">
            <v>10.68</v>
          </cell>
          <cell r="G85">
            <v>8.82</v>
          </cell>
        </row>
        <row r="86">
          <cell r="A86" t="str">
            <v>20:Q2</v>
          </cell>
          <cell r="B86">
            <v>0.66</v>
          </cell>
          <cell r="C86">
            <v>3.16</v>
          </cell>
          <cell r="D86">
            <v>5.14</v>
          </cell>
          <cell r="E86">
            <v>6.78</v>
          </cell>
          <cell r="F86">
            <v>4.6000000000000005</v>
          </cell>
          <cell r="G86">
            <v>3.52</v>
          </cell>
        </row>
        <row r="87">
          <cell r="A87" t="str">
            <v>20:Q3</v>
          </cell>
          <cell r="B87">
            <v>0.44</v>
          </cell>
          <cell r="C87">
            <v>1.94</v>
          </cell>
          <cell r="D87">
            <v>3.44</v>
          </cell>
          <cell r="E87">
            <v>4.3</v>
          </cell>
          <cell r="F87">
            <v>3.04</v>
          </cell>
          <cell r="G87">
            <v>2.84</v>
          </cell>
        </row>
        <row r="88">
          <cell r="A88" t="str">
            <v>20:Q4</v>
          </cell>
          <cell r="B88">
            <v>0.36</v>
          </cell>
          <cell r="C88">
            <v>1.68</v>
          </cell>
          <cell r="D88">
            <v>3.04</v>
          </cell>
          <cell r="E88">
            <v>3.66</v>
          </cell>
          <cell r="F88">
            <v>2.98</v>
          </cell>
          <cell r="G88">
            <v>2.46</v>
          </cell>
        </row>
        <row r="89">
          <cell r="A89" t="str">
            <v>21:Q1</v>
          </cell>
          <cell r="B89">
            <v>0.44</v>
          </cell>
          <cell r="C89">
            <v>1.18</v>
          </cell>
          <cell r="D89">
            <v>2.2400000000000002</v>
          </cell>
          <cell r="E89">
            <v>2.72</v>
          </cell>
          <cell r="F89">
            <v>2.44</v>
          </cell>
          <cell r="G89">
            <v>2.38</v>
          </cell>
        </row>
        <row r="90">
          <cell r="A90" t="str">
            <v>21:Q2</v>
          </cell>
          <cell r="B90">
            <v>0.18</v>
          </cell>
          <cell r="C90">
            <v>0.96</v>
          </cell>
          <cell r="D90">
            <v>1.6600000000000001</v>
          </cell>
          <cell r="E90">
            <v>1.58</v>
          </cell>
          <cell r="F90">
            <v>1.56</v>
          </cell>
          <cell r="G90">
            <v>2.16</v>
          </cell>
        </row>
        <row r="91">
          <cell r="A91" t="str">
            <v>21:Q3</v>
          </cell>
          <cell r="B91">
            <v>0.16</v>
          </cell>
          <cell r="C91">
            <v>0.94000000000000006</v>
          </cell>
          <cell r="D91">
            <v>2.04</v>
          </cell>
          <cell r="E91">
            <v>2.42</v>
          </cell>
          <cell r="F91">
            <v>2.1800000000000002</v>
          </cell>
          <cell r="G91">
            <v>1.86</v>
          </cell>
        </row>
        <row r="92">
          <cell r="A92" t="str">
            <v>21:Q4</v>
          </cell>
          <cell r="B92">
            <v>0.36</v>
          </cell>
          <cell r="C92">
            <v>0.98</v>
          </cell>
          <cell r="D92">
            <v>1.6600000000000001</v>
          </cell>
          <cell r="E92">
            <v>1.98</v>
          </cell>
          <cell r="F92">
            <v>1.4000000000000001</v>
          </cell>
          <cell r="G92">
            <v>2.48</v>
          </cell>
        </row>
        <row r="93">
          <cell r="A93" t="str">
            <v>22:Q1</v>
          </cell>
          <cell r="B93">
            <v>0.82000000000000006</v>
          </cell>
          <cell r="C93">
            <v>3.9</v>
          </cell>
          <cell r="D93">
            <v>6.18</v>
          </cell>
          <cell r="E93">
            <v>5</v>
          </cell>
          <cell r="F93">
            <v>3.9</v>
          </cell>
          <cell r="G93">
            <v>4.42</v>
          </cell>
        </row>
        <row r="94">
          <cell r="A94" t="str">
            <v>22:Q2</v>
          </cell>
          <cell r="B94">
            <v>1.3800000000000001</v>
          </cell>
          <cell r="C94">
            <v>6.04</v>
          </cell>
          <cell r="D94">
            <v>7.16</v>
          </cell>
          <cell r="E94">
            <v>7.22</v>
          </cell>
          <cell r="F94">
            <v>5.96</v>
          </cell>
          <cell r="G94">
            <v>7.24</v>
          </cell>
        </row>
        <row r="95">
          <cell r="A95" t="str">
            <v>22:Q3</v>
          </cell>
          <cell r="B95">
            <v>1.6</v>
          </cell>
          <cell r="C95">
            <v>5.18</v>
          </cell>
          <cell r="D95">
            <v>6.68</v>
          </cell>
          <cell r="E95">
            <v>5.88</v>
          </cell>
          <cell r="F95">
            <v>4.2</v>
          </cell>
          <cell r="G95">
            <v>4.88</v>
          </cell>
        </row>
        <row r="96">
          <cell r="A96" t="str">
            <v>22:Q4</v>
          </cell>
          <cell r="B96">
            <v>1.62</v>
          </cell>
          <cell r="C96">
            <v>6.5600000000000005</v>
          </cell>
          <cell r="D96">
            <v>8.7000000000000011</v>
          </cell>
          <cell r="E96">
            <v>7.2</v>
          </cell>
          <cell r="F96">
            <v>4.72</v>
          </cell>
          <cell r="G96">
            <v>5.38</v>
          </cell>
        </row>
        <row r="97">
          <cell r="A97" t="str">
            <v>23:Q1</v>
          </cell>
          <cell r="B97">
            <v>1.72</v>
          </cell>
          <cell r="C97">
            <v>7.08</v>
          </cell>
          <cell r="D97">
            <v>9.0400000000000009</v>
          </cell>
          <cell r="E97">
            <v>7.24</v>
          </cell>
          <cell r="F97">
            <v>4.9800000000000004</v>
          </cell>
          <cell r="G97">
            <v>5.58</v>
          </cell>
        </row>
        <row r="98">
          <cell r="A98" t="str">
            <v>23:Q2</v>
          </cell>
          <cell r="B98">
            <v>2.02</v>
          </cell>
          <cell r="C98">
            <v>7.3</v>
          </cell>
          <cell r="D98">
            <v>9.64</v>
          </cell>
          <cell r="E98">
            <v>7.96</v>
          </cell>
          <cell r="F98">
            <v>5.34</v>
          </cell>
          <cell r="G98">
            <v>6.48</v>
          </cell>
        </row>
        <row r="99">
          <cell r="A99" t="str">
            <v>23:Q3</v>
          </cell>
          <cell r="B99">
            <v>1.82</v>
          </cell>
          <cell r="C99">
            <v>7.18</v>
          </cell>
          <cell r="D99">
            <v>8.7799999999999994</v>
          </cell>
          <cell r="E99">
            <v>7.74</v>
          </cell>
          <cell r="F99">
            <v>5.68</v>
          </cell>
          <cell r="G99">
            <v>4.84</v>
          </cell>
        </row>
        <row r="100">
          <cell r="A100" t="str">
            <v>23:Q4</v>
          </cell>
          <cell r="B100">
            <v>2.2200000000000002</v>
          </cell>
          <cell r="C100">
            <v>7.36</v>
          </cell>
          <cell r="D100">
            <v>9.2200000000000006</v>
          </cell>
          <cell r="E100">
            <v>9.2200000000000006</v>
          </cell>
          <cell r="F100">
            <v>5.88</v>
          </cell>
          <cell r="G100">
            <v>6.22</v>
          </cell>
        </row>
        <row r="101">
          <cell r="A101" t="str">
            <v>24:Q1</v>
          </cell>
          <cell r="B101">
            <v>1.76</v>
          </cell>
          <cell r="C101">
            <v>8.18</v>
          </cell>
          <cell r="D101">
            <v>11.78</v>
          </cell>
          <cell r="E101">
            <v>9.58</v>
          </cell>
          <cell r="F101">
            <v>6.66</v>
          </cell>
          <cell r="G101">
            <v>6.12</v>
          </cell>
        </row>
        <row r="102">
          <cell r="A102" t="str">
            <v>24:Q2</v>
          </cell>
          <cell r="B102">
            <v>2.2999999999999998</v>
          </cell>
          <cell r="C102">
            <v>7.0600000000000005</v>
          </cell>
          <cell r="D102">
            <v>11.46</v>
          </cell>
          <cell r="E102">
            <v>11.22</v>
          </cell>
          <cell r="F102">
            <v>7.16</v>
          </cell>
          <cell r="G102">
            <v>7.88</v>
          </cell>
        </row>
        <row r="103">
          <cell r="A103" t="str">
            <v>24:Q3</v>
          </cell>
          <cell r="B103">
            <v>2.14</v>
          </cell>
          <cell r="C103">
            <v>7.48</v>
          </cell>
          <cell r="D103">
            <v>9.58</v>
          </cell>
          <cell r="E103">
            <v>9.3000000000000007</v>
          </cell>
          <cell r="F103">
            <v>6.18</v>
          </cell>
          <cell r="G103">
            <v>6.74</v>
          </cell>
        </row>
        <row r="104">
          <cell r="A104" t="str">
            <v>24:Q4</v>
          </cell>
          <cell r="B104">
            <v>2.1800000000000002</v>
          </cell>
          <cell r="C104">
            <v>8.32</v>
          </cell>
          <cell r="D104">
            <v>10.16</v>
          </cell>
          <cell r="E104">
            <v>9.14</v>
          </cell>
          <cell r="F104">
            <v>6.42</v>
          </cell>
          <cell r="G104">
            <v>4.92</v>
          </cell>
        </row>
        <row r="105">
          <cell r="A105" t="str">
            <v>25:Q1</v>
          </cell>
          <cell r="B105">
            <v>2.44</v>
          </cell>
          <cell r="C105">
            <v>10.74</v>
          </cell>
          <cell r="D105">
            <v>15.56</v>
          </cell>
          <cell r="E105">
            <v>13.94</v>
          </cell>
          <cell r="F105">
            <v>9.86</v>
          </cell>
          <cell r="G105">
            <v>9.08</v>
          </cell>
        </row>
        <row r="106">
          <cell r="A106" t="str">
            <v>25:Q2</v>
          </cell>
          <cell r="B106">
            <v>2.64</v>
          </cell>
          <cell r="C106">
            <v>9.5</v>
          </cell>
          <cell r="D106">
            <v>12.4</v>
          </cell>
          <cell r="E106">
            <v>11.74</v>
          </cell>
          <cell r="F106">
            <v>8.3800000000000008</v>
          </cell>
          <cell r="G106">
            <v>8.06</v>
          </cell>
        </row>
        <row r="107">
          <cell r="A107" t="str">
            <v>25:Q3</v>
          </cell>
          <cell r="B107">
            <v>3.14</v>
          </cell>
          <cell r="C107">
            <v>10</v>
          </cell>
          <cell r="D107">
            <v>13.94</v>
          </cell>
          <cell r="E107">
            <v>12.72</v>
          </cell>
          <cell r="F107">
            <v>7.94</v>
          </cell>
          <cell r="G107">
            <v>6.88</v>
          </cell>
        </row>
        <row r="108">
          <cell r="A108" t="str">
            <v>25:Q4</v>
          </cell>
          <cell r="B108">
            <v>3.06</v>
          </cell>
          <cell r="C108">
            <v>11.28</v>
          </cell>
          <cell r="D108">
            <v>15.4</v>
          </cell>
          <cell r="E108">
            <v>12.16</v>
          </cell>
          <cell r="F108">
            <v>8.32</v>
          </cell>
          <cell r="G108">
            <v>7.84</v>
          </cell>
        </row>
        <row r="109">
          <cell r="A109" t="str">
            <v>26:Q1</v>
          </cell>
          <cell r="B109">
            <v>3.4</v>
          </cell>
          <cell r="C109">
            <v>11.56</v>
          </cell>
          <cell r="D109">
            <v>15.38</v>
          </cell>
          <cell r="E109">
            <v>12.280000000000001</v>
          </cell>
          <cell r="F109">
            <v>8.66</v>
          </cell>
          <cell r="G109">
            <v>7.82</v>
          </cell>
        </row>
      </sheetData>
      <sheetData sheetId="53" refreshError="1"/>
      <sheetData sheetId="54">
        <row r="1">
          <cell r="A1" t="str">
            <v>New Bankruptcy By Age</v>
          </cell>
        </row>
        <row r="2">
          <cell r="A2" t="str">
            <v>Thousands</v>
          </cell>
        </row>
        <row r="4">
          <cell r="A4" t="str">
            <v>quarter</v>
          </cell>
          <cell r="B4" t="str">
            <v>18-29</v>
          </cell>
          <cell r="C4" t="str">
            <v>30-39</v>
          </cell>
          <cell r="D4" t="str">
            <v>40-49</v>
          </cell>
          <cell r="E4" t="str">
            <v>50-59</v>
          </cell>
          <cell r="F4" t="str">
            <v>60-69</v>
          </cell>
          <cell r="G4" t="str">
            <v>70+</v>
          </cell>
        </row>
        <row r="5">
          <cell r="A5" t="str">
            <v>00:Q1</v>
          </cell>
          <cell r="B5">
            <v>61.86</v>
          </cell>
          <cell r="C5">
            <v>117.1</v>
          </cell>
          <cell r="D5">
            <v>108.38</v>
          </cell>
          <cell r="E5">
            <v>63.04</v>
          </cell>
          <cell r="F5">
            <v>25.2</v>
          </cell>
          <cell r="G5">
            <v>17.84</v>
          </cell>
        </row>
        <row r="6">
          <cell r="A6" t="str">
            <v>00:Q2</v>
          </cell>
          <cell r="B6">
            <v>74.44</v>
          </cell>
          <cell r="C6">
            <v>157.16</v>
          </cell>
          <cell r="D6">
            <v>135.18</v>
          </cell>
          <cell r="E6">
            <v>79.94</v>
          </cell>
          <cell r="F6">
            <v>30.04</v>
          </cell>
          <cell r="G6">
            <v>19.559999999999999</v>
          </cell>
        </row>
        <row r="7">
          <cell r="A7" t="str">
            <v>00:Q3</v>
          </cell>
          <cell r="B7">
            <v>72.36</v>
          </cell>
          <cell r="C7">
            <v>129.54</v>
          </cell>
          <cell r="D7">
            <v>111.94</v>
          </cell>
          <cell r="E7">
            <v>66.2</v>
          </cell>
          <cell r="F7">
            <v>25.42</v>
          </cell>
          <cell r="G7">
            <v>16.16</v>
          </cell>
        </row>
        <row r="8">
          <cell r="A8" t="str">
            <v>00:Q4</v>
          </cell>
          <cell r="B8">
            <v>75.52</v>
          </cell>
          <cell r="C8">
            <v>130.5</v>
          </cell>
          <cell r="D8">
            <v>115.6</v>
          </cell>
          <cell r="E8">
            <v>66.34</v>
          </cell>
          <cell r="F8">
            <v>24.94</v>
          </cell>
          <cell r="G8">
            <v>15.56</v>
          </cell>
        </row>
        <row r="9">
          <cell r="A9" t="str">
            <v>01:Q1</v>
          </cell>
          <cell r="B9">
            <v>63.02</v>
          </cell>
          <cell r="C9">
            <v>129.62</v>
          </cell>
          <cell r="D9">
            <v>118.3</v>
          </cell>
          <cell r="E9">
            <v>70.459999999999994</v>
          </cell>
          <cell r="F9">
            <v>27.44</v>
          </cell>
          <cell r="G9">
            <v>18.04</v>
          </cell>
        </row>
        <row r="10">
          <cell r="A10" t="str">
            <v>01:Q2</v>
          </cell>
          <cell r="B10">
            <v>90.7</v>
          </cell>
          <cell r="C10">
            <v>181.82</v>
          </cell>
          <cell r="D10">
            <v>168.38</v>
          </cell>
          <cell r="E10">
            <v>104.18</v>
          </cell>
          <cell r="F10">
            <v>40.98</v>
          </cell>
          <cell r="G10">
            <v>25</v>
          </cell>
        </row>
        <row r="11">
          <cell r="A11" t="str">
            <v>01:Q3</v>
          </cell>
          <cell r="B11">
            <v>75.42</v>
          </cell>
          <cell r="C11">
            <v>140.24</v>
          </cell>
          <cell r="D11">
            <v>129.80000000000001</v>
          </cell>
          <cell r="E11">
            <v>77.819999999999993</v>
          </cell>
          <cell r="F11">
            <v>31.56</v>
          </cell>
          <cell r="G11">
            <v>20.02</v>
          </cell>
        </row>
        <row r="12">
          <cell r="A12" t="str">
            <v>01:Q4</v>
          </cell>
          <cell r="B12">
            <v>82.68</v>
          </cell>
          <cell r="C12">
            <v>154.08000000000001</v>
          </cell>
          <cell r="D12">
            <v>139.88</v>
          </cell>
          <cell r="E12">
            <v>82.96</v>
          </cell>
          <cell r="F12">
            <v>31.68</v>
          </cell>
          <cell r="G12">
            <v>21.02</v>
          </cell>
        </row>
        <row r="13">
          <cell r="A13" t="str">
            <v>02:Q1</v>
          </cell>
          <cell r="B13">
            <v>100.32</v>
          </cell>
          <cell r="C13">
            <v>197.26</v>
          </cell>
          <cell r="D13">
            <v>187.78</v>
          </cell>
          <cell r="E13">
            <v>123.64</v>
          </cell>
          <cell r="F13">
            <v>50.78</v>
          </cell>
          <cell r="G13">
            <v>29.8</v>
          </cell>
        </row>
        <row r="14">
          <cell r="A14" t="str">
            <v>02:Q2</v>
          </cell>
          <cell r="B14">
            <v>79.64</v>
          </cell>
          <cell r="C14">
            <v>154.38</v>
          </cell>
          <cell r="D14">
            <v>141.18</v>
          </cell>
          <cell r="E14">
            <v>89.02</v>
          </cell>
          <cell r="F14">
            <v>33.86</v>
          </cell>
          <cell r="G14">
            <v>18.96</v>
          </cell>
        </row>
        <row r="15">
          <cell r="A15" t="str">
            <v>02:Q3</v>
          </cell>
          <cell r="B15">
            <v>72.72</v>
          </cell>
          <cell r="C15">
            <v>146.41999999999999</v>
          </cell>
          <cell r="D15">
            <v>140.06</v>
          </cell>
          <cell r="E15">
            <v>88.94</v>
          </cell>
          <cell r="F15">
            <v>34.24</v>
          </cell>
          <cell r="G15">
            <v>18.079999999999998</v>
          </cell>
        </row>
        <row r="16">
          <cell r="A16" t="str">
            <v>02:Q4</v>
          </cell>
          <cell r="B16">
            <v>74.900000000000006</v>
          </cell>
          <cell r="C16">
            <v>145.66</v>
          </cell>
          <cell r="D16">
            <v>143.19999999999999</v>
          </cell>
          <cell r="E16">
            <v>88.26</v>
          </cell>
          <cell r="F16">
            <v>36.880000000000003</v>
          </cell>
          <cell r="G16">
            <v>18.760000000000002</v>
          </cell>
        </row>
        <row r="17">
          <cell r="A17" t="str">
            <v>03:Q1</v>
          </cell>
          <cell r="B17">
            <v>68.66</v>
          </cell>
          <cell r="C17">
            <v>156.96</v>
          </cell>
          <cell r="D17">
            <v>165.44</v>
          </cell>
          <cell r="E17">
            <v>108.78</v>
          </cell>
          <cell r="F17">
            <v>47.3</v>
          </cell>
          <cell r="G17">
            <v>28.52</v>
          </cell>
        </row>
        <row r="18">
          <cell r="A18" t="str">
            <v>03:Q2</v>
          </cell>
          <cell r="B18">
            <v>77.7</v>
          </cell>
          <cell r="C18">
            <v>166.54</v>
          </cell>
          <cell r="D18">
            <v>166.3</v>
          </cell>
          <cell r="E18">
            <v>106.36</v>
          </cell>
          <cell r="F18">
            <v>43.32</v>
          </cell>
          <cell r="G18">
            <v>24.1</v>
          </cell>
        </row>
        <row r="19">
          <cell r="A19" t="str">
            <v>03:Q3</v>
          </cell>
          <cell r="B19">
            <v>67.739999999999895</v>
          </cell>
          <cell r="C19">
            <v>139.26</v>
          </cell>
          <cell r="D19">
            <v>144.19999999999999</v>
          </cell>
          <cell r="E19">
            <v>90.44</v>
          </cell>
          <cell r="F19">
            <v>38.479999999999997</v>
          </cell>
          <cell r="G19">
            <v>22.24</v>
          </cell>
        </row>
        <row r="20">
          <cell r="A20" t="str">
            <v>03:Q4</v>
          </cell>
          <cell r="B20">
            <v>66.02</v>
          </cell>
          <cell r="C20">
            <v>130.04</v>
          </cell>
          <cell r="D20">
            <v>135</v>
          </cell>
          <cell r="E20">
            <v>89.42</v>
          </cell>
          <cell r="F20">
            <v>37.56</v>
          </cell>
          <cell r="G20">
            <v>20.260000000000002</v>
          </cell>
        </row>
        <row r="21">
          <cell r="A21" t="str">
            <v>04:Q1</v>
          </cell>
          <cell r="B21">
            <v>60.56</v>
          </cell>
          <cell r="C21">
            <v>135.52000000000001</v>
          </cell>
          <cell r="D21">
            <v>143.6</v>
          </cell>
          <cell r="E21">
            <v>93.12</v>
          </cell>
          <cell r="F21">
            <v>40.68</v>
          </cell>
          <cell r="G21">
            <v>22.66</v>
          </cell>
        </row>
        <row r="22">
          <cell r="A22" t="str">
            <v>04:Q2</v>
          </cell>
          <cell r="B22">
            <v>69.8</v>
          </cell>
          <cell r="C22">
            <v>146.80000000000001</v>
          </cell>
          <cell r="D22">
            <v>153.58000000000001</v>
          </cell>
          <cell r="E22">
            <v>99.18</v>
          </cell>
          <cell r="F22">
            <v>44.3</v>
          </cell>
          <cell r="G22">
            <v>22.1</v>
          </cell>
        </row>
        <row r="23">
          <cell r="A23" t="str">
            <v>04:Q3</v>
          </cell>
          <cell r="B23">
            <v>66.92</v>
          </cell>
          <cell r="C23">
            <v>134.34</v>
          </cell>
          <cell r="D23">
            <v>135.56</v>
          </cell>
          <cell r="E23">
            <v>92.739999999999895</v>
          </cell>
          <cell r="F23">
            <v>37.880000000000003</v>
          </cell>
          <cell r="G23">
            <v>21.58</v>
          </cell>
        </row>
        <row r="24">
          <cell r="A24" t="str">
            <v>04:Q4</v>
          </cell>
          <cell r="B24">
            <v>75.760000000000005</v>
          </cell>
          <cell r="C24">
            <v>151.02000000000001</v>
          </cell>
          <cell r="D24">
            <v>153.16</v>
          </cell>
          <cell r="E24">
            <v>102.98</v>
          </cell>
          <cell r="F24">
            <v>41.78</v>
          </cell>
          <cell r="G24">
            <v>22.5</v>
          </cell>
        </row>
        <row r="25">
          <cell r="A25" t="str">
            <v>05:Q1</v>
          </cell>
          <cell r="B25">
            <v>56.02</v>
          </cell>
          <cell r="C25">
            <v>119.62</v>
          </cell>
          <cell r="D25">
            <v>125.52</v>
          </cell>
          <cell r="E25">
            <v>87.14</v>
          </cell>
          <cell r="F25">
            <v>36.92</v>
          </cell>
          <cell r="G25">
            <v>21.4</v>
          </cell>
        </row>
        <row r="26">
          <cell r="A26" t="str">
            <v>05:Q2</v>
          </cell>
          <cell r="B26">
            <v>83.46</v>
          </cell>
          <cell r="C26">
            <v>174.96</v>
          </cell>
          <cell r="D26">
            <v>178.98</v>
          </cell>
          <cell r="E26">
            <v>127.16</v>
          </cell>
          <cell r="F26">
            <v>55.3</v>
          </cell>
          <cell r="G26">
            <v>29.22</v>
          </cell>
        </row>
        <row r="27">
          <cell r="A27" t="str">
            <v>05:Q3</v>
          </cell>
          <cell r="B27">
            <v>90.46</v>
          </cell>
          <cell r="C27">
            <v>177.98</v>
          </cell>
          <cell r="D27">
            <v>176.7</v>
          </cell>
          <cell r="E27">
            <v>126.84</v>
          </cell>
          <cell r="F27">
            <v>54.7</v>
          </cell>
          <cell r="G27">
            <v>30.64</v>
          </cell>
        </row>
        <row r="28">
          <cell r="A28" t="str">
            <v>05:Q4</v>
          </cell>
          <cell r="B28">
            <v>142.78</v>
          </cell>
          <cell r="C28">
            <v>257.89999999999998</v>
          </cell>
          <cell r="D28">
            <v>257.14</v>
          </cell>
          <cell r="E28">
            <v>173.72</v>
          </cell>
          <cell r="F28">
            <v>68.400000000000006</v>
          </cell>
          <cell r="G28">
            <v>33.26</v>
          </cell>
        </row>
        <row r="29">
          <cell r="A29" t="str">
            <v>06:Q1</v>
          </cell>
          <cell r="B29">
            <v>21.88</v>
          </cell>
          <cell r="C29">
            <v>48.38</v>
          </cell>
          <cell r="D29">
            <v>52.76</v>
          </cell>
          <cell r="E29">
            <v>37.24</v>
          </cell>
          <cell r="F29">
            <v>16.420000000000002</v>
          </cell>
          <cell r="G29">
            <v>10.14</v>
          </cell>
        </row>
        <row r="30">
          <cell r="A30" t="str">
            <v>06:Q2</v>
          </cell>
          <cell r="B30">
            <v>25.72</v>
          </cell>
          <cell r="C30">
            <v>63.72</v>
          </cell>
          <cell r="D30">
            <v>69</v>
          </cell>
          <cell r="E30">
            <v>49.48</v>
          </cell>
          <cell r="F30">
            <v>23.22</v>
          </cell>
          <cell r="G30">
            <v>13.54</v>
          </cell>
        </row>
        <row r="31">
          <cell r="A31" t="str">
            <v>06:Q3</v>
          </cell>
          <cell r="B31">
            <v>28.58</v>
          </cell>
          <cell r="C31">
            <v>68.400000000000006</v>
          </cell>
          <cell r="D31">
            <v>75.58</v>
          </cell>
          <cell r="E31">
            <v>56.16</v>
          </cell>
          <cell r="F31">
            <v>24.48</v>
          </cell>
          <cell r="G31">
            <v>13.28</v>
          </cell>
        </row>
        <row r="32">
          <cell r="A32" t="str">
            <v>06:Q4</v>
          </cell>
          <cell r="B32">
            <v>32.4</v>
          </cell>
          <cell r="C32">
            <v>71.38</v>
          </cell>
          <cell r="D32">
            <v>75.959999999999994</v>
          </cell>
          <cell r="E32">
            <v>53.72</v>
          </cell>
          <cell r="F32">
            <v>25.04</v>
          </cell>
          <cell r="G32">
            <v>14.46</v>
          </cell>
        </row>
        <row r="33">
          <cell r="A33" t="str">
            <v>07:Q1</v>
          </cell>
          <cell r="B33">
            <v>27.62</v>
          </cell>
          <cell r="C33">
            <v>67.040000000000006</v>
          </cell>
          <cell r="D33">
            <v>73.02</v>
          </cell>
          <cell r="E33">
            <v>51.82</v>
          </cell>
          <cell r="F33">
            <v>24.66</v>
          </cell>
          <cell r="G33">
            <v>12.14</v>
          </cell>
        </row>
        <row r="34">
          <cell r="A34" t="str">
            <v>07:Q2</v>
          </cell>
          <cell r="B34">
            <v>32.18</v>
          </cell>
          <cell r="C34">
            <v>76.760000000000005</v>
          </cell>
          <cell r="D34">
            <v>78.72</v>
          </cell>
          <cell r="E34">
            <v>60.14</v>
          </cell>
          <cell r="F34">
            <v>25.86</v>
          </cell>
          <cell r="G34">
            <v>13.74</v>
          </cell>
        </row>
        <row r="35">
          <cell r="A35" t="str">
            <v>07:Q3</v>
          </cell>
          <cell r="B35">
            <v>33.18</v>
          </cell>
          <cell r="C35">
            <v>82.82</v>
          </cell>
          <cell r="D35">
            <v>90.12</v>
          </cell>
          <cell r="E35">
            <v>64.7</v>
          </cell>
          <cell r="F35">
            <v>29.2</v>
          </cell>
          <cell r="G35">
            <v>14.26</v>
          </cell>
        </row>
        <row r="36">
          <cell r="A36" t="str">
            <v>07:Q4</v>
          </cell>
          <cell r="B36">
            <v>36.04</v>
          </cell>
          <cell r="C36">
            <v>91.2</v>
          </cell>
          <cell r="D36">
            <v>99.94</v>
          </cell>
          <cell r="E36">
            <v>72.180000000000007</v>
          </cell>
          <cell r="F36">
            <v>31.98</v>
          </cell>
          <cell r="G36">
            <v>15.38</v>
          </cell>
        </row>
        <row r="37">
          <cell r="A37" t="str">
            <v>08:Q1</v>
          </cell>
          <cell r="B37">
            <v>32.86</v>
          </cell>
          <cell r="C37">
            <v>83.18</v>
          </cell>
          <cell r="D37">
            <v>92.32</v>
          </cell>
          <cell r="E37">
            <v>66.94</v>
          </cell>
          <cell r="F37">
            <v>31.4</v>
          </cell>
          <cell r="G37">
            <v>15.2</v>
          </cell>
        </row>
        <row r="38">
          <cell r="A38" t="str">
            <v>08:Q2</v>
          </cell>
          <cell r="B38">
            <v>38.78</v>
          </cell>
          <cell r="C38">
            <v>99.38</v>
          </cell>
          <cell r="D38">
            <v>109.68</v>
          </cell>
          <cell r="E38">
            <v>79.099999999999994</v>
          </cell>
          <cell r="F38">
            <v>37.22</v>
          </cell>
          <cell r="G38">
            <v>16.8</v>
          </cell>
        </row>
        <row r="39">
          <cell r="A39" t="str">
            <v>08:Q3</v>
          </cell>
          <cell r="B39">
            <v>38.340000000000003</v>
          </cell>
          <cell r="C39">
            <v>105.26</v>
          </cell>
          <cell r="D39">
            <v>115.04</v>
          </cell>
          <cell r="E39">
            <v>83.9</v>
          </cell>
          <cell r="F39">
            <v>38.44</v>
          </cell>
          <cell r="G39">
            <v>16.36</v>
          </cell>
        </row>
        <row r="40">
          <cell r="A40" t="str">
            <v>08:Q4</v>
          </cell>
          <cell r="B40">
            <v>41.02</v>
          </cell>
          <cell r="C40">
            <v>107.88</v>
          </cell>
          <cell r="D40">
            <v>121.56</v>
          </cell>
          <cell r="E40">
            <v>91.02</v>
          </cell>
          <cell r="F40">
            <v>43.52</v>
          </cell>
          <cell r="G40">
            <v>19.3</v>
          </cell>
        </row>
        <row r="41">
          <cell r="A41" t="str">
            <v>09:Q1</v>
          </cell>
          <cell r="B41">
            <v>36.14</v>
          </cell>
          <cell r="C41">
            <v>101.92</v>
          </cell>
          <cell r="D41">
            <v>115.06</v>
          </cell>
          <cell r="E41">
            <v>89.94</v>
          </cell>
          <cell r="F41">
            <v>46.76</v>
          </cell>
          <cell r="G41">
            <v>19.96</v>
          </cell>
        </row>
        <row r="42">
          <cell r="A42" t="str">
            <v>09:Q2</v>
          </cell>
          <cell r="B42">
            <v>45.36</v>
          </cell>
          <cell r="C42">
            <v>134.30000000000001</v>
          </cell>
          <cell r="D42">
            <v>151.9</v>
          </cell>
          <cell r="E42">
            <v>113.08</v>
          </cell>
          <cell r="F42">
            <v>53.72</v>
          </cell>
          <cell r="G42">
            <v>22.94</v>
          </cell>
        </row>
        <row r="43">
          <cell r="A43" t="str">
            <v>09:Q3</v>
          </cell>
          <cell r="B43">
            <v>43.14</v>
          </cell>
          <cell r="C43">
            <v>125.72</v>
          </cell>
          <cell r="D43">
            <v>150.84</v>
          </cell>
          <cell r="E43">
            <v>115.84</v>
          </cell>
          <cell r="F43">
            <v>56.44</v>
          </cell>
          <cell r="G43">
            <v>22.8</v>
          </cell>
        </row>
        <row r="44">
          <cell r="A44" t="str">
            <v>09:Q4</v>
          </cell>
          <cell r="B44">
            <v>39.76</v>
          </cell>
          <cell r="C44">
            <v>120.38</v>
          </cell>
          <cell r="D44">
            <v>141.88</v>
          </cell>
          <cell r="E44">
            <v>110.3</v>
          </cell>
          <cell r="F44">
            <v>52.66</v>
          </cell>
          <cell r="G44">
            <v>20.72</v>
          </cell>
        </row>
        <row r="45">
          <cell r="A45" t="str">
            <v>10:Q1</v>
          </cell>
          <cell r="B45">
            <v>32.880000000000003</v>
          </cell>
          <cell r="C45">
            <v>109.74</v>
          </cell>
          <cell r="D45">
            <v>134.62</v>
          </cell>
          <cell r="E45">
            <v>107.18</v>
          </cell>
          <cell r="F45">
            <v>54.62</v>
          </cell>
          <cell r="G45">
            <v>22.56</v>
          </cell>
        </row>
        <row r="46">
          <cell r="A46" t="str">
            <v>10:Q2</v>
          </cell>
          <cell r="B46">
            <v>44.42</v>
          </cell>
          <cell r="C46">
            <v>147.72</v>
          </cell>
          <cell r="D46">
            <v>181.98</v>
          </cell>
          <cell r="E46">
            <v>144.74</v>
          </cell>
          <cell r="F46">
            <v>71.06</v>
          </cell>
          <cell r="G46">
            <v>29.56</v>
          </cell>
        </row>
        <row r="47">
          <cell r="A47" t="str">
            <v>10:Q3</v>
          </cell>
          <cell r="B47">
            <v>36.14</v>
          </cell>
          <cell r="C47">
            <v>119.84</v>
          </cell>
          <cell r="D47">
            <v>153.62</v>
          </cell>
          <cell r="E47">
            <v>123.42</v>
          </cell>
          <cell r="F47">
            <v>62.66</v>
          </cell>
          <cell r="G47">
            <v>24.62</v>
          </cell>
        </row>
        <row r="48">
          <cell r="A48" t="str">
            <v>10:Q4</v>
          </cell>
          <cell r="B48">
            <v>35.58</v>
          </cell>
          <cell r="C48">
            <v>116.76</v>
          </cell>
          <cell r="D48">
            <v>149.36000000000001</v>
          </cell>
          <cell r="E48">
            <v>116</v>
          </cell>
          <cell r="F48">
            <v>57.48</v>
          </cell>
          <cell r="G48">
            <v>23.6</v>
          </cell>
        </row>
        <row r="49">
          <cell r="A49" t="str">
            <v>11:Q1</v>
          </cell>
          <cell r="B49">
            <v>27.4</v>
          </cell>
          <cell r="C49">
            <v>97.7</v>
          </cell>
          <cell r="D49">
            <v>126.34</v>
          </cell>
          <cell r="E49">
            <v>101.66</v>
          </cell>
          <cell r="F49">
            <v>56.36</v>
          </cell>
          <cell r="G49">
            <v>23.16</v>
          </cell>
        </row>
        <row r="50">
          <cell r="A50" t="str">
            <v>11:Q2</v>
          </cell>
          <cell r="B50">
            <v>31.62</v>
          </cell>
          <cell r="C50">
            <v>108.88</v>
          </cell>
          <cell r="D50">
            <v>142.22</v>
          </cell>
          <cell r="E50">
            <v>110.26</v>
          </cell>
          <cell r="F50">
            <v>56.06</v>
          </cell>
          <cell r="G50">
            <v>22.96</v>
          </cell>
        </row>
        <row r="51">
          <cell r="A51" t="str">
            <v>11:Q3</v>
          </cell>
          <cell r="B51">
            <v>29.7</v>
          </cell>
          <cell r="C51">
            <v>95.44</v>
          </cell>
          <cell r="D51">
            <v>124.38</v>
          </cell>
          <cell r="E51">
            <v>101.38</v>
          </cell>
          <cell r="F51">
            <v>50.7</v>
          </cell>
          <cell r="G51">
            <v>20.74</v>
          </cell>
        </row>
        <row r="52">
          <cell r="A52" t="str">
            <v>11:Q4</v>
          </cell>
          <cell r="B52">
            <v>26.72</v>
          </cell>
          <cell r="C52">
            <v>95.56</v>
          </cell>
          <cell r="D52">
            <v>129.6</v>
          </cell>
          <cell r="E52">
            <v>100.98</v>
          </cell>
          <cell r="F52">
            <v>50.18</v>
          </cell>
          <cell r="G52">
            <v>21.32</v>
          </cell>
        </row>
        <row r="53">
          <cell r="A53" t="str">
            <v>12:Q1</v>
          </cell>
          <cell r="B53">
            <v>22.14</v>
          </cell>
          <cell r="C53">
            <v>81.36</v>
          </cell>
          <cell r="D53">
            <v>109.8</v>
          </cell>
          <cell r="E53">
            <v>89.98</v>
          </cell>
          <cell r="F53">
            <v>46.86</v>
          </cell>
          <cell r="G53">
            <v>20.46</v>
          </cell>
        </row>
        <row r="54">
          <cell r="A54" t="str">
            <v>12:Q2</v>
          </cell>
          <cell r="B54">
            <v>24.9</v>
          </cell>
          <cell r="C54">
            <v>91.96</v>
          </cell>
          <cell r="D54">
            <v>115.9</v>
          </cell>
          <cell r="E54">
            <v>97.26</v>
          </cell>
          <cell r="F54">
            <v>47.18</v>
          </cell>
          <cell r="G54">
            <v>20.76</v>
          </cell>
        </row>
        <row r="55">
          <cell r="A55" t="str">
            <v>12:Q3</v>
          </cell>
          <cell r="B55">
            <v>24.1</v>
          </cell>
          <cell r="C55">
            <v>81.3</v>
          </cell>
          <cell r="D55">
            <v>101.54</v>
          </cell>
          <cell r="E55">
            <v>84.32</v>
          </cell>
          <cell r="F55">
            <v>43.78</v>
          </cell>
          <cell r="G55">
            <v>18.420000000000002</v>
          </cell>
        </row>
        <row r="56">
          <cell r="A56" t="str">
            <v>12:Q4</v>
          </cell>
          <cell r="B56">
            <v>22.58</v>
          </cell>
          <cell r="C56">
            <v>74.98</v>
          </cell>
          <cell r="D56">
            <v>98.58</v>
          </cell>
          <cell r="E56">
            <v>81.44</v>
          </cell>
          <cell r="F56">
            <v>41.32</v>
          </cell>
          <cell r="G56">
            <v>16.3</v>
          </cell>
        </row>
        <row r="57">
          <cell r="A57" t="str">
            <v>13:Q1</v>
          </cell>
          <cell r="B57">
            <v>19.34</v>
          </cell>
          <cell r="C57">
            <v>67.42</v>
          </cell>
          <cell r="D57">
            <v>88.8</v>
          </cell>
          <cell r="E57">
            <v>75.06</v>
          </cell>
          <cell r="F57">
            <v>40.26</v>
          </cell>
          <cell r="G57">
            <v>17.579999999999998</v>
          </cell>
        </row>
        <row r="58">
          <cell r="A58" t="str">
            <v>13:Q2</v>
          </cell>
          <cell r="B58">
            <v>23.82</v>
          </cell>
          <cell r="C58">
            <v>82.86</v>
          </cell>
          <cell r="D58">
            <v>108.58</v>
          </cell>
          <cell r="E58">
            <v>94.28</v>
          </cell>
          <cell r="F58">
            <v>48.34</v>
          </cell>
          <cell r="G58">
            <v>21.4</v>
          </cell>
        </row>
        <row r="59">
          <cell r="A59" t="str">
            <v>13:Q3</v>
          </cell>
          <cell r="B59">
            <v>23.08</v>
          </cell>
          <cell r="C59">
            <v>74.36</v>
          </cell>
          <cell r="D59">
            <v>102.08</v>
          </cell>
          <cell r="E59">
            <v>87.72</v>
          </cell>
          <cell r="F59">
            <v>46.56</v>
          </cell>
          <cell r="G59">
            <v>20.52</v>
          </cell>
        </row>
        <row r="60">
          <cell r="A60" t="str">
            <v>13:Q4</v>
          </cell>
          <cell r="B60">
            <v>19.72</v>
          </cell>
          <cell r="C60">
            <v>72.540000000000006</v>
          </cell>
          <cell r="D60">
            <v>95.44</v>
          </cell>
          <cell r="E60">
            <v>82.88</v>
          </cell>
          <cell r="F60">
            <v>41.68</v>
          </cell>
          <cell r="G60">
            <v>19.32</v>
          </cell>
        </row>
        <row r="61">
          <cell r="A61" t="str">
            <v>14:Q1</v>
          </cell>
          <cell r="B61">
            <v>15.42</v>
          </cell>
          <cell r="C61">
            <v>54.5</v>
          </cell>
          <cell r="D61">
            <v>74.66</v>
          </cell>
          <cell r="E61">
            <v>67.540000000000006</v>
          </cell>
          <cell r="F61">
            <v>37.04</v>
          </cell>
          <cell r="G61">
            <v>16.32</v>
          </cell>
        </row>
        <row r="62">
          <cell r="A62" t="str">
            <v>14:Q2</v>
          </cell>
          <cell r="B62">
            <v>17.84</v>
          </cell>
          <cell r="C62">
            <v>66.58</v>
          </cell>
          <cell r="D62">
            <v>88.739999999999895</v>
          </cell>
          <cell r="E62">
            <v>76.62</v>
          </cell>
          <cell r="F62">
            <v>39.94</v>
          </cell>
          <cell r="G62">
            <v>17.54</v>
          </cell>
        </row>
        <row r="63">
          <cell r="A63" t="str">
            <v>14:Q3</v>
          </cell>
          <cell r="B63">
            <v>17.48</v>
          </cell>
          <cell r="C63">
            <v>56.56</v>
          </cell>
          <cell r="D63">
            <v>74.48</v>
          </cell>
          <cell r="E63">
            <v>63.14</v>
          </cell>
          <cell r="F63">
            <v>34.979999999999997</v>
          </cell>
          <cell r="G63">
            <v>15.54</v>
          </cell>
        </row>
        <row r="64">
          <cell r="A64" t="str">
            <v>14:Q4</v>
          </cell>
          <cell r="B64">
            <v>18.82</v>
          </cell>
          <cell r="C64">
            <v>56.02</v>
          </cell>
          <cell r="D64">
            <v>76.98</v>
          </cell>
          <cell r="E64">
            <v>64.14</v>
          </cell>
          <cell r="F64">
            <v>35.840000000000003</v>
          </cell>
          <cell r="G64">
            <v>15.3</v>
          </cell>
        </row>
        <row r="65">
          <cell r="A65" t="str">
            <v>15:Q1</v>
          </cell>
          <cell r="B65">
            <v>15.84</v>
          </cell>
          <cell r="C65">
            <v>52.46</v>
          </cell>
          <cell r="D65">
            <v>70.099999999999994</v>
          </cell>
          <cell r="E65">
            <v>63.48</v>
          </cell>
          <cell r="F65">
            <v>35.979999999999997</v>
          </cell>
          <cell r="G65">
            <v>16.7</v>
          </cell>
        </row>
        <row r="66">
          <cell r="A66" t="str">
            <v>15:Q2</v>
          </cell>
          <cell r="B66">
            <v>18.68</v>
          </cell>
          <cell r="C66">
            <v>59.08</v>
          </cell>
          <cell r="D66">
            <v>72.94</v>
          </cell>
          <cell r="E66">
            <v>62.82</v>
          </cell>
          <cell r="F66">
            <v>35.04</v>
          </cell>
          <cell r="G66">
            <v>16.12</v>
          </cell>
        </row>
        <row r="67">
          <cell r="A67" t="str">
            <v>15:Q3</v>
          </cell>
          <cell r="B67">
            <v>17.739999999999998</v>
          </cell>
          <cell r="C67">
            <v>49.44</v>
          </cell>
          <cell r="D67">
            <v>60.52</v>
          </cell>
          <cell r="E67">
            <v>53.82</v>
          </cell>
          <cell r="F67">
            <v>30.06</v>
          </cell>
          <cell r="G67">
            <v>13.68</v>
          </cell>
        </row>
        <row r="68">
          <cell r="A68" t="str">
            <v>15:Q4</v>
          </cell>
          <cell r="B68">
            <v>16.66</v>
          </cell>
          <cell r="C68">
            <v>46.04</v>
          </cell>
          <cell r="D68">
            <v>56.66</v>
          </cell>
          <cell r="E68">
            <v>51.82</v>
          </cell>
          <cell r="F68">
            <v>28.06</v>
          </cell>
          <cell r="G68">
            <v>13.7</v>
          </cell>
        </row>
        <row r="69">
          <cell r="A69" t="str">
            <v>16:Q1</v>
          </cell>
          <cell r="B69">
            <v>15.16</v>
          </cell>
          <cell r="C69">
            <v>45.42</v>
          </cell>
          <cell r="D69">
            <v>54.02</v>
          </cell>
          <cell r="E69">
            <v>50.38</v>
          </cell>
          <cell r="F69">
            <v>28.08</v>
          </cell>
          <cell r="G69">
            <v>13.4</v>
          </cell>
        </row>
        <row r="70">
          <cell r="A70" t="str">
            <v>16:Q2</v>
          </cell>
          <cell r="B70">
            <v>17.68</v>
          </cell>
          <cell r="C70">
            <v>50.44</v>
          </cell>
          <cell r="D70">
            <v>58.4</v>
          </cell>
          <cell r="E70">
            <v>51.5</v>
          </cell>
          <cell r="F70">
            <v>30.74</v>
          </cell>
          <cell r="G70">
            <v>15.32</v>
          </cell>
        </row>
        <row r="71">
          <cell r="A71" t="str">
            <v>16:Q3</v>
          </cell>
          <cell r="B71">
            <v>16.88</v>
          </cell>
          <cell r="C71">
            <v>48.34</v>
          </cell>
          <cell r="D71">
            <v>56.24</v>
          </cell>
          <cell r="E71">
            <v>48.74</v>
          </cell>
          <cell r="F71">
            <v>28.8</v>
          </cell>
          <cell r="G71">
            <v>13.98</v>
          </cell>
        </row>
        <row r="72">
          <cell r="A72" t="str">
            <v>16:Q4</v>
          </cell>
          <cell r="B72">
            <v>16.7</v>
          </cell>
          <cell r="C72">
            <v>44.34</v>
          </cell>
          <cell r="D72">
            <v>53.78</v>
          </cell>
          <cell r="E72">
            <v>48.26</v>
          </cell>
          <cell r="F72">
            <v>27.24</v>
          </cell>
          <cell r="G72">
            <v>13.46</v>
          </cell>
        </row>
        <row r="73">
          <cell r="A73" t="str">
            <v>17:Q1</v>
          </cell>
          <cell r="B73">
            <v>14.5</v>
          </cell>
          <cell r="C73">
            <v>41.14</v>
          </cell>
          <cell r="D73">
            <v>53.64</v>
          </cell>
          <cell r="E73">
            <v>48.88</v>
          </cell>
          <cell r="F73">
            <v>29.96</v>
          </cell>
          <cell r="G73">
            <v>14.92</v>
          </cell>
        </row>
        <row r="74">
          <cell r="A74" t="str">
            <v>17:Q2</v>
          </cell>
          <cell r="B74">
            <v>17.96</v>
          </cell>
          <cell r="C74">
            <v>49.1</v>
          </cell>
          <cell r="D74">
            <v>59.96</v>
          </cell>
          <cell r="E74">
            <v>50.06</v>
          </cell>
          <cell r="F74">
            <v>30.78</v>
          </cell>
          <cell r="G74">
            <v>15.8</v>
          </cell>
        </row>
        <row r="75">
          <cell r="A75" t="str">
            <v>17:Q3</v>
          </cell>
          <cell r="B75">
            <v>16.72</v>
          </cell>
          <cell r="C75">
            <v>43.9</v>
          </cell>
          <cell r="D75">
            <v>54.44</v>
          </cell>
          <cell r="E75">
            <v>49.12</v>
          </cell>
          <cell r="F75">
            <v>28.04</v>
          </cell>
          <cell r="G75">
            <v>15.96</v>
          </cell>
        </row>
        <row r="76">
          <cell r="A76" t="str">
            <v>17:Q4</v>
          </cell>
          <cell r="B76">
            <v>16.739999999999998</v>
          </cell>
          <cell r="C76">
            <v>42.36</v>
          </cell>
          <cell r="D76">
            <v>51.74</v>
          </cell>
          <cell r="E76">
            <v>44.52</v>
          </cell>
          <cell r="F76">
            <v>29.44</v>
          </cell>
          <cell r="G76">
            <v>15.36</v>
          </cell>
        </row>
        <row r="77">
          <cell r="A77" t="str">
            <v>18:Q1</v>
          </cell>
          <cell r="B77">
            <v>14.04</v>
          </cell>
          <cell r="C77">
            <v>39.619999999999997</v>
          </cell>
          <cell r="D77">
            <v>50.26</v>
          </cell>
          <cell r="E77">
            <v>45.08</v>
          </cell>
          <cell r="F77">
            <v>27</v>
          </cell>
          <cell r="G77">
            <v>15.3</v>
          </cell>
        </row>
        <row r="78">
          <cell r="A78" t="str">
            <v>18:Q2</v>
          </cell>
          <cell r="B78">
            <v>17.440000000000001</v>
          </cell>
          <cell r="C78">
            <v>47.06</v>
          </cell>
          <cell r="D78">
            <v>58.82</v>
          </cell>
          <cell r="E78">
            <v>51.58</v>
          </cell>
          <cell r="F78">
            <v>32.119999999999997</v>
          </cell>
          <cell r="G78">
            <v>17.66</v>
          </cell>
        </row>
        <row r="79">
          <cell r="A79" t="str">
            <v>18:Q3</v>
          </cell>
          <cell r="B79">
            <v>16.72</v>
          </cell>
          <cell r="C79">
            <v>45.1</v>
          </cell>
          <cell r="D79">
            <v>54.26</v>
          </cell>
          <cell r="E79">
            <v>49.26</v>
          </cell>
          <cell r="F79">
            <v>31.66</v>
          </cell>
          <cell r="G79">
            <v>17.36</v>
          </cell>
        </row>
        <row r="80">
          <cell r="A80" t="str">
            <v>18:Q4</v>
          </cell>
          <cell r="B80">
            <v>14.9</v>
          </cell>
          <cell r="C80">
            <v>41.74</v>
          </cell>
          <cell r="D80">
            <v>51.24</v>
          </cell>
          <cell r="E80">
            <v>45.78</v>
          </cell>
          <cell r="F80">
            <v>26.62</v>
          </cell>
          <cell r="G80">
            <v>14.78</v>
          </cell>
        </row>
        <row r="81">
          <cell r="A81" t="str">
            <v>19:Q1</v>
          </cell>
          <cell r="B81">
            <v>13.98</v>
          </cell>
          <cell r="C81">
            <v>38.26</v>
          </cell>
          <cell r="D81">
            <v>48.74</v>
          </cell>
          <cell r="E81">
            <v>45.7</v>
          </cell>
          <cell r="F81">
            <v>28.46</v>
          </cell>
          <cell r="G81">
            <v>16.68</v>
          </cell>
        </row>
        <row r="82">
          <cell r="A82" t="str">
            <v>19:Q2</v>
          </cell>
          <cell r="B82">
            <v>18.059999999999999</v>
          </cell>
          <cell r="C82">
            <v>48.74</v>
          </cell>
          <cell r="D82">
            <v>59.26</v>
          </cell>
          <cell r="E82">
            <v>55.22</v>
          </cell>
          <cell r="F82">
            <v>31.54</v>
          </cell>
          <cell r="G82">
            <v>19.04</v>
          </cell>
        </row>
        <row r="83">
          <cell r="A83" t="str">
            <v>19:Q3</v>
          </cell>
          <cell r="B83">
            <v>15.02</v>
          </cell>
          <cell r="C83">
            <v>40.76</v>
          </cell>
          <cell r="D83">
            <v>47.52</v>
          </cell>
          <cell r="E83">
            <v>42.24</v>
          </cell>
          <cell r="F83">
            <v>25.66</v>
          </cell>
          <cell r="G83">
            <v>14.780000000000001</v>
          </cell>
        </row>
        <row r="84">
          <cell r="A84" t="str">
            <v>19:Q4</v>
          </cell>
          <cell r="B84">
            <v>16.440000000000001</v>
          </cell>
          <cell r="C84">
            <v>42.32</v>
          </cell>
          <cell r="D84">
            <v>52.28</v>
          </cell>
          <cell r="E84">
            <v>46.26</v>
          </cell>
          <cell r="F84">
            <v>28.26</v>
          </cell>
          <cell r="G84">
            <v>16.02</v>
          </cell>
        </row>
        <row r="85">
          <cell r="A85" t="str">
            <v>20:Q1</v>
          </cell>
          <cell r="B85">
            <v>13.86</v>
          </cell>
          <cell r="C85">
            <v>38.94</v>
          </cell>
          <cell r="D85">
            <v>48.28</v>
          </cell>
          <cell r="E85">
            <v>43.42</v>
          </cell>
          <cell r="F85">
            <v>27.82</v>
          </cell>
          <cell r="G85">
            <v>16.420000000000002</v>
          </cell>
        </row>
        <row r="86">
          <cell r="A86" t="str">
            <v>20:Q2</v>
          </cell>
          <cell r="B86">
            <v>11.36</v>
          </cell>
          <cell r="C86">
            <v>28.3</v>
          </cell>
          <cell r="D86">
            <v>33.380000000000003</v>
          </cell>
          <cell r="E86">
            <v>30.42</v>
          </cell>
          <cell r="F86">
            <v>19.54</v>
          </cell>
          <cell r="G86">
            <v>12.42</v>
          </cell>
        </row>
        <row r="87">
          <cell r="A87" t="str">
            <v>20:Q3</v>
          </cell>
          <cell r="B87">
            <v>10.86</v>
          </cell>
          <cell r="C87">
            <v>27.52</v>
          </cell>
          <cell r="D87">
            <v>33.1</v>
          </cell>
          <cell r="E87">
            <v>29.62</v>
          </cell>
          <cell r="F87">
            <v>19.02</v>
          </cell>
          <cell r="G87">
            <v>11.58</v>
          </cell>
        </row>
        <row r="88">
          <cell r="A88" t="str">
            <v>20:Q4</v>
          </cell>
          <cell r="B88">
            <v>10.32</v>
          </cell>
          <cell r="C88">
            <v>25.48</v>
          </cell>
          <cell r="D88">
            <v>29.8</v>
          </cell>
          <cell r="E88">
            <v>28.1</v>
          </cell>
          <cell r="F88">
            <v>17.38</v>
          </cell>
          <cell r="G88">
            <v>9.52</v>
          </cell>
        </row>
        <row r="89">
          <cell r="A89" t="str">
            <v>21:Q1</v>
          </cell>
          <cell r="B89">
            <v>8.68</v>
          </cell>
          <cell r="C89">
            <v>22.26</v>
          </cell>
          <cell r="D89">
            <v>27.64</v>
          </cell>
          <cell r="E89">
            <v>26.86</v>
          </cell>
          <cell r="F89">
            <v>16.940000000000001</v>
          </cell>
          <cell r="G89">
            <v>9.58</v>
          </cell>
        </row>
        <row r="90">
          <cell r="A90" t="str">
            <v>21:Q2</v>
          </cell>
          <cell r="B90">
            <v>8.4</v>
          </cell>
          <cell r="C90">
            <v>23.38</v>
          </cell>
          <cell r="D90">
            <v>29.26</v>
          </cell>
          <cell r="E90">
            <v>27.84</v>
          </cell>
          <cell r="F90">
            <v>17.52</v>
          </cell>
          <cell r="G90">
            <v>9.7200000000000006</v>
          </cell>
        </row>
        <row r="91">
          <cell r="A91" t="str">
            <v>21:Q3</v>
          </cell>
          <cell r="B91">
            <v>7.38</v>
          </cell>
          <cell r="C91">
            <v>18.72</v>
          </cell>
          <cell r="D91">
            <v>24.68</v>
          </cell>
          <cell r="E91">
            <v>22.56</v>
          </cell>
          <cell r="F91">
            <v>14.94</v>
          </cell>
          <cell r="G91">
            <v>8.7200000000000006</v>
          </cell>
        </row>
        <row r="92">
          <cell r="A92" t="str">
            <v>21:Q4</v>
          </cell>
          <cell r="B92">
            <v>6.74</v>
          </cell>
          <cell r="C92">
            <v>17.68</v>
          </cell>
          <cell r="D92">
            <v>22.28</v>
          </cell>
          <cell r="E92">
            <v>21.26</v>
          </cell>
          <cell r="F92">
            <v>15.72</v>
          </cell>
          <cell r="G92">
            <v>7.96</v>
          </cell>
        </row>
        <row r="93">
          <cell r="A93" t="str">
            <v>22:Q1</v>
          </cell>
          <cell r="B93">
            <v>5.94</v>
          </cell>
          <cell r="C93">
            <v>17.059999999999999</v>
          </cell>
          <cell r="D93">
            <v>21.98</v>
          </cell>
          <cell r="E93">
            <v>21.7</v>
          </cell>
          <cell r="F93">
            <v>14.5</v>
          </cell>
          <cell r="G93">
            <v>8.3000000000000007</v>
          </cell>
        </row>
        <row r="94">
          <cell r="A94" t="str">
            <v>22:Q2</v>
          </cell>
          <cell r="B94">
            <v>7.5600000000000005</v>
          </cell>
          <cell r="C94">
            <v>18.78</v>
          </cell>
          <cell r="D94">
            <v>22.02</v>
          </cell>
          <cell r="E94">
            <v>21.96</v>
          </cell>
          <cell r="F94">
            <v>14.620000000000001</v>
          </cell>
          <cell r="G94">
            <v>8.4600000000000009</v>
          </cell>
        </row>
        <row r="95">
          <cell r="A95" t="str">
            <v>22:Q3</v>
          </cell>
          <cell r="B95">
            <v>6.84</v>
          </cell>
          <cell r="C95">
            <v>19.2</v>
          </cell>
          <cell r="D95">
            <v>24.62</v>
          </cell>
          <cell r="E95">
            <v>22.38</v>
          </cell>
          <cell r="F95">
            <v>16.18</v>
          </cell>
          <cell r="G95">
            <v>8.18</v>
          </cell>
        </row>
        <row r="96">
          <cell r="A96" t="str">
            <v>22:Q4</v>
          </cell>
          <cell r="B96">
            <v>7.22</v>
          </cell>
          <cell r="C96">
            <v>19.7</v>
          </cell>
          <cell r="D96">
            <v>24.580000000000002</v>
          </cell>
          <cell r="E96">
            <v>22.52</v>
          </cell>
          <cell r="F96">
            <v>14.6</v>
          </cell>
          <cell r="G96">
            <v>8.08</v>
          </cell>
        </row>
        <row r="97">
          <cell r="A97" t="str">
            <v>23:Q1</v>
          </cell>
          <cell r="B97">
            <v>6.82</v>
          </cell>
          <cell r="C97">
            <v>20.34</v>
          </cell>
          <cell r="D97">
            <v>24.060000000000002</v>
          </cell>
          <cell r="E97">
            <v>24.92</v>
          </cell>
          <cell r="F97">
            <v>15.44</v>
          </cell>
          <cell r="G97">
            <v>9.4</v>
          </cell>
        </row>
        <row r="98">
          <cell r="A98" t="str">
            <v>23:Q2</v>
          </cell>
          <cell r="B98">
            <v>8.2200000000000006</v>
          </cell>
          <cell r="C98">
            <v>24.060000000000002</v>
          </cell>
          <cell r="D98">
            <v>28.5</v>
          </cell>
          <cell r="E98">
            <v>26.1</v>
          </cell>
          <cell r="F98">
            <v>15.74</v>
          </cell>
          <cell r="G98">
            <v>9.98</v>
          </cell>
        </row>
        <row r="99">
          <cell r="A99" t="str">
            <v>23:Q3</v>
          </cell>
          <cell r="B99">
            <v>8.5</v>
          </cell>
          <cell r="C99">
            <v>24.02</v>
          </cell>
          <cell r="D99">
            <v>28.54</v>
          </cell>
          <cell r="E99">
            <v>26.86</v>
          </cell>
          <cell r="F99">
            <v>16.34</v>
          </cell>
          <cell r="G99">
            <v>9.5</v>
          </cell>
        </row>
        <row r="100">
          <cell r="A100" t="str">
            <v>23:Q4</v>
          </cell>
          <cell r="B100">
            <v>8.5</v>
          </cell>
          <cell r="C100">
            <v>23.06</v>
          </cell>
          <cell r="D100">
            <v>28.44</v>
          </cell>
          <cell r="E100">
            <v>25.62</v>
          </cell>
          <cell r="F100">
            <v>16.68</v>
          </cell>
          <cell r="G100">
            <v>9.26</v>
          </cell>
        </row>
        <row r="101">
          <cell r="A101" t="str">
            <v>24:Q1</v>
          </cell>
          <cell r="B101">
            <v>7.96</v>
          </cell>
          <cell r="C101">
            <v>24.46</v>
          </cell>
          <cell r="D101">
            <v>30.2</v>
          </cell>
          <cell r="E101">
            <v>28.66</v>
          </cell>
          <cell r="F101">
            <v>18.3</v>
          </cell>
          <cell r="G101">
            <v>9.8800000000000008</v>
          </cell>
        </row>
        <row r="102">
          <cell r="A102" t="str">
            <v>24:Q2</v>
          </cell>
          <cell r="B102">
            <v>9.3000000000000007</v>
          </cell>
          <cell r="C102">
            <v>27.88</v>
          </cell>
          <cell r="D102">
            <v>34.26</v>
          </cell>
          <cell r="E102">
            <v>31</v>
          </cell>
          <cell r="F102">
            <v>18.920000000000002</v>
          </cell>
          <cell r="G102">
            <v>11.42</v>
          </cell>
        </row>
        <row r="103">
          <cell r="A103" t="str">
            <v>24:Q3</v>
          </cell>
          <cell r="B103">
            <v>9.8800000000000008</v>
          </cell>
          <cell r="C103">
            <v>26.76</v>
          </cell>
          <cell r="D103">
            <v>32.56</v>
          </cell>
          <cell r="E103">
            <v>29.36</v>
          </cell>
          <cell r="F103">
            <v>18.899999999999999</v>
          </cell>
          <cell r="G103">
            <v>10.42</v>
          </cell>
        </row>
        <row r="104">
          <cell r="A104" t="str">
            <v>24:Q4</v>
          </cell>
          <cell r="B104">
            <v>9.2799999999999994</v>
          </cell>
          <cell r="C104">
            <v>25.92</v>
          </cell>
          <cell r="D104">
            <v>29.240000000000002</v>
          </cell>
          <cell r="E104">
            <v>29.060000000000002</v>
          </cell>
          <cell r="F104">
            <v>18.38</v>
          </cell>
          <cell r="G104">
            <v>10.6</v>
          </cell>
        </row>
        <row r="105">
          <cell r="A105" t="str">
            <v>25:Q1</v>
          </cell>
          <cell r="B105">
            <v>6.88</v>
          </cell>
          <cell r="C105">
            <v>21.64</v>
          </cell>
          <cell r="D105">
            <v>25.88</v>
          </cell>
          <cell r="E105">
            <v>24.580000000000002</v>
          </cell>
          <cell r="F105">
            <v>16.22</v>
          </cell>
          <cell r="G105">
            <v>9.620000000000001</v>
          </cell>
        </row>
        <row r="106">
          <cell r="A106" t="str">
            <v>25:Q2</v>
          </cell>
          <cell r="B106">
            <v>7.72</v>
          </cell>
          <cell r="C106">
            <v>27.7</v>
          </cell>
          <cell r="D106">
            <v>34.44</v>
          </cell>
          <cell r="E106">
            <v>30.560000000000002</v>
          </cell>
          <cell r="F106">
            <v>19.52</v>
          </cell>
          <cell r="G106">
            <v>11.16</v>
          </cell>
        </row>
        <row r="107">
          <cell r="A107" t="str">
            <v>25:Q3</v>
          </cell>
          <cell r="B107">
            <v>9.9</v>
          </cell>
          <cell r="C107">
            <v>30.26</v>
          </cell>
          <cell r="D107">
            <v>34.76</v>
          </cell>
          <cell r="E107">
            <v>32.26</v>
          </cell>
          <cell r="F107">
            <v>22.04</v>
          </cell>
          <cell r="G107">
            <v>12.120000000000001</v>
          </cell>
        </row>
        <row r="108">
          <cell r="A108" t="str">
            <v>25:Q4</v>
          </cell>
          <cell r="B108">
            <v>8.86</v>
          </cell>
          <cell r="C108">
            <v>26.560000000000002</v>
          </cell>
          <cell r="D108">
            <v>32.299999999999997</v>
          </cell>
          <cell r="E108">
            <v>28.16</v>
          </cell>
          <cell r="F108">
            <v>17.440000000000001</v>
          </cell>
          <cell r="G108">
            <v>10.34</v>
          </cell>
        </row>
        <row r="109">
          <cell r="A109" t="str">
            <v>26:Q1</v>
          </cell>
          <cell r="B109">
            <v>7.92</v>
          </cell>
          <cell r="C109">
            <v>25.400000000000002</v>
          </cell>
          <cell r="D109">
            <v>32.200000000000003</v>
          </cell>
          <cell r="E109">
            <v>28.560000000000002</v>
          </cell>
          <cell r="F109">
            <v>18.740000000000002</v>
          </cell>
          <cell r="G109">
            <v>10.92</v>
          </cell>
        </row>
      </sheetData>
      <sheetData sheetId="55" refreshError="1"/>
      <sheetData sheetId="56">
        <row r="3">
          <cell r="B3" t="str">
            <v>03:Q1</v>
          </cell>
        </row>
        <row r="4">
          <cell r="B4">
            <v>32.209917466410751</v>
          </cell>
        </row>
        <row r="5">
          <cell r="B5">
            <v>43.288241415192509</v>
          </cell>
        </row>
        <row r="6">
          <cell r="B6">
            <v>27.810880829015542</v>
          </cell>
        </row>
        <row r="7">
          <cell r="B7">
            <v>32.217615532409752</v>
          </cell>
        </row>
        <row r="8">
          <cell r="B8">
            <v>30.544586570195484</v>
          </cell>
        </row>
        <row r="9">
          <cell r="B9">
            <v>35.664896581691771</v>
          </cell>
        </row>
        <row r="10">
          <cell r="B10">
            <v>38.015996294335629</v>
          </cell>
        </row>
        <row r="11">
          <cell r="B11">
            <v>28.133360773821771</v>
          </cell>
        </row>
        <row r="12">
          <cell r="B12">
            <v>27.99472563140278</v>
          </cell>
        </row>
        <row r="13">
          <cell r="B13">
            <v>24.553571428571427</v>
          </cell>
        </row>
        <row r="14">
          <cell r="B14">
            <v>24.419922457500746</v>
          </cell>
        </row>
        <row r="15">
          <cell r="B15">
            <v>30.597150703015583</v>
          </cell>
        </row>
      </sheetData>
      <sheetData sheetId="57" refreshError="1"/>
      <sheetData sheetId="58">
        <row r="1">
          <cell r="A1" t="str">
            <v xml:space="preserve">Composition of Debt Balance per Capita* by State (2026 Q1) </v>
          </cell>
        </row>
        <row r="2">
          <cell r="A2" t="str">
            <v>Thousands of $</v>
          </cell>
        </row>
        <row r="3">
          <cell r="B3" t="str">
            <v>Mortgage</v>
          </cell>
          <cell r="C3" t="str">
            <v>HE Revolving</v>
          </cell>
          <cell r="D3" t="str">
            <v>Auto Loan</v>
          </cell>
          <cell r="E3" t="str">
            <v>Credit Card</v>
          </cell>
          <cell r="F3" t="str">
            <v>Student Loan</v>
          </cell>
          <cell r="G3" t="str">
            <v>Other</v>
          </cell>
        </row>
        <row r="4">
          <cell r="A4" t="str">
            <v>AZ</v>
          </cell>
          <cell r="B4">
            <v>53.99</v>
          </cell>
          <cell r="C4">
            <v>1.52</v>
          </cell>
          <cell r="D4">
            <v>6.1</v>
          </cell>
          <cell r="E4">
            <v>4.57</v>
          </cell>
          <cell r="F4">
            <v>4.9400000000000004</v>
          </cell>
          <cell r="G4">
            <v>1.95</v>
          </cell>
        </row>
        <row r="5">
          <cell r="A5" t="str">
            <v>CA</v>
          </cell>
          <cell r="B5">
            <v>69.41</v>
          </cell>
          <cell r="C5">
            <v>1.67</v>
          </cell>
          <cell r="D5">
            <v>5.29</v>
          </cell>
          <cell r="E5">
            <v>5.12</v>
          </cell>
          <cell r="F5">
            <v>4.66</v>
          </cell>
          <cell r="G5">
            <v>1.57</v>
          </cell>
        </row>
        <row r="6">
          <cell r="A6" t="str">
            <v>FL</v>
          </cell>
          <cell r="B6">
            <v>42.44</v>
          </cell>
          <cell r="C6">
            <v>1.49</v>
          </cell>
          <cell r="D6">
            <v>6.6</v>
          </cell>
          <cell r="E6">
            <v>4.87</v>
          </cell>
          <cell r="F6">
            <v>5.01</v>
          </cell>
          <cell r="G6">
            <v>2.1</v>
          </cell>
        </row>
        <row r="7">
          <cell r="A7" t="str">
            <v>IL</v>
          </cell>
          <cell r="B7">
            <v>37.72</v>
          </cell>
          <cell r="C7">
            <v>1.07</v>
          </cell>
          <cell r="D7">
            <v>4.93</v>
          </cell>
          <cell r="E7">
            <v>4.18</v>
          </cell>
          <cell r="F7">
            <v>5.81</v>
          </cell>
          <cell r="G7">
            <v>1.44</v>
          </cell>
        </row>
        <row r="8">
          <cell r="A8" t="str">
            <v>MI</v>
          </cell>
          <cell r="B8">
            <v>30.9</v>
          </cell>
          <cell r="C8">
            <v>1.36</v>
          </cell>
          <cell r="D8">
            <v>4.8499999999999996</v>
          </cell>
          <cell r="E8">
            <v>3.55</v>
          </cell>
          <cell r="F8">
            <v>5.78</v>
          </cell>
          <cell r="G8">
            <v>1.57</v>
          </cell>
        </row>
        <row r="9">
          <cell r="A9" t="str">
            <v>NJ</v>
          </cell>
          <cell r="B9">
            <v>48.62</v>
          </cell>
          <cell r="C9">
            <v>1.72</v>
          </cell>
          <cell r="D9">
            <v>4.97</v>
          </cell>
          <cell r="E9">
            <v>4.6900000000000004</v>
          </cell>
          <cell r="F9">
            <v>6.61</v>
          </cell>
          <cell r="G9">
            <v>1.48</v>
          </cell>
        </row>
        <row r="10">
          <cell r="A10" t="str">
            <v>NV</v>
          </cell>
          <cell r="B10">
            <v>52.31</v>
          </cell>
          <cell r="C10">
            <v>0.9</v>
          </cell>
          <cell r="D10">
            <v>6.3</v>
          </cell>
          <cell r="E10">
            <v>4.84</v>
          </cell>
          <cell r="F10">
            <v>4.49</v>
          </cell>
          <cell r="G10">
            <v>2.2400000000000002</v>
          </cell>
        </row>
        <row r="11">
          <cell r="A11" t="str">
            <v>NY</v>
          </cell>
          <cell r="B11">
            <v>40.369999999999997</v>
          </cell>
          <cell r="C11">
            <v>1.56</v>
          </cell>
          <cell r="D11">
            <v>4.21</v>
          </cell>
          <cell r="E11">
            <v>4.71</v>
          </cell>
          <cell r="F11">
            <v>6.04</v>
          </cell>
          <cell r="G11">
            <v>1.42</v>
          </cell>
        </row>
        <row r="12">
          <cell r="A12" t="str">
            <v>OH</v>
          </cell>
          <cell r="B12">
            <v>28.42</v>
          </cell>
          <cell r="C12">
            <v>1.76</v>
          </cell>
          <cell r="D12">
            <v>5.23</v>
          </cell>
          <cell r="E12">
            <v>3.46</v>
          </cell>
          <cell r="F12">
            <v>5.77</v>
          </cell>
          <cell r="G12">
            <v>1.55</v>
          </cell>
        </row>
        <row r="13">
          <cell r="A13" t="str">
            <v>PA</v>
          </cell>
          <cell r="B13">
            <v>31.22</v>
          </cell>
          <cell r="C13">
            <v>2.06</v>
          </cell>
          <cell r="D13">
            <v>5.05</v>
          </cell>
          <cell r="E13">
            <v>3.81</v>
          </cell>
          <cell r="F13">
            <v>6.49</v>
          </cell>
          <cell r="G13">
            <v>1.77</v>
          </cell>
        </row>
        <row r="14">
          <cell r="A14" t="str">
            <v>TX</v>
          </cell>
          <cell r="B14">
            <v>39.97</v>
          </cell>
          <cell r="C14">
            <v>0.4</v>
          </cell>
          <cell r="D14">
            <v>8.3000000000000007</v>
          </cell>
          <cell r="E14">
            <v>4.45</v>
          </cell>
          <cell r="F14">
            <v>5.17</v>
          </cell>
          <cell r="G14">
            <v>2.42</v>
          </cell>
        </row>
        <row r="15">
          <cell r="A15" t="str">
            <v>US</v>
          </cell>
          <cell r="B15">
            <v>44.74</v>
          </cell>
          <cell r="C15">
            <v>1.51</v>
          </cell>
          <cell r="D15">
            <v>5.72</v>
          </cell>
          <cell r="E15">
            <v>4.25</v>
          </cell>
          <cell r="F15">
            <v>5.42</v>
          </cell>
          <cell r="G15">
            <v>1.91</v>
          </cell>
        </row>
        <row r="16">
          <cell r="A16" t="str">
            <v>* Based on the population with a credit report</v>
          </cell>
        </row>
        <row r="17">
          <cell r="A17" t="str">
            <v>Return to Table of Contents</v>
          </cell>
        </row>
        <row r="18">
          <cell r="A18" t="str">
            <v>Source: New York Fed Consumer Credit Panel/Equifax</v>
          </cell>
        </row>
      </sheetData>
      <sheetData sheetId="59" refreshError="1"/>
      <sheetData sheetId="60">
        <row r="1">
          <cell r="A1" t="str">
            <v xml:space="preserve">Delinquency Status of Debt Balance per Capita* by State (2026 Q1) </v>
          </cell>
        </row>
        <row r="2">
          <cell r="A2" t="str">
            <v>Thousands of $</v>
          </cell>
        </row>
        <row r="3">
          <cell r="B3" t="str">
            <v>current</v>
          </cell>
          <cell r="C3" t="str">
            <v>30 days late</v>
          </cell>
          <cell r="D3" t="str">
            <v>60 days late</v>
          </cell>
          <cell r="E3" t="str">
            <v>90 days late</v>
          </cell>
          <cell r="F3" t="str">
            <v>120+ days late</v>
          </cell>
          <cell r="G3" t="str">
            <v>derogatory</v>
          </cell>
        </row>
        <row r="4">
          <cell r="A4" t="str">
            <v>AZ</v>
          </cell>
          <cell r="B4">
            <v>69.700999999999993</v>
          </cell>
          <cell r="C4">
            <v>0.42699999999999999</v>
          </cell>
          <cell r="D4">
            <v>0.34899999999999998</v>
          </cell>
          <cell r="E4">
            <v>0.23799999999999999</v>
          </cell>
          <cell r="F4">
            <v>0.93200000000000005</v>
          </cell>
          <cell r="G4">
            <v>1.3160000000000001</v>
          </cell>
        </row>
        <row r="5">
          <cell r="A5" t="str">
            <v>CA</v>
          </cell>
          <cell r="B5">
            <v>84.756</v>
          </cell>
          <cell r="C5">
            <v>0.69199999999999995</v>
          </cell>
          <cell r="D5">
            <v>0.22800000000000001</v>
          </cell>
          <cell r="E5">
            <v>0.182</v>
          </cell>
          <cell r="F5">
            <v>0.65</v>
          </cell>
          <cell r="G5">
            <v>1.0289999999999999</v>
          </cell>
        </row>
        <row r="6">
          <cell r="A6" t="str">
            <v>FL</v>
          </cell>
          <cell r="B6">
            <v>58.829000000000001</v>
          </cell>
          <cell r="C6">
            <v>0.88800000000000001</v>
          </cell>
          <cell r="D6">
            <v>0.26200000000000001</v>
          </cell>
          <cell r="E6">
            <v>0.182</v>
          </cell>
          <cell r="F6">
            <v>0.754</v>
          </cell>
          <cell r="G6">
            <v>1.4930000000000001</v>
          </cell>
        </row>
        <row r="7">
          <cell r="A7" t="str">
            <v>IL</v>
          </cell>
          <cell r="B7">
            <v>52.527000000000001</v>
          </cell>
          <cell r="C7">
            <v>0.45</v>
          </cell>
          <cell r="D7">
            <v>0.193</v>
          </cell>
          <cell r="E7">
            <v>0.19600000000000001</v>
          </cell>
          <cell r="F7">
            <v>0.69299999999999995</v>
          </cell>
          <cell r="G7">
            <v>0.98399999999999999</v>
          </cell>
        </row>
        <row r="8">
          <cell r="A8" t="str">
            <v>MI</v>
          </cell>
          <cell r="B8">
            <v>45.706000000000003</v>
          </cell>
          <cell r="C8">
            <v>0.38200000000000001</v>
          </cell>
          <cell r="D8">
            <v>0.23</v>
          </cell>
          <cell r="E8">
            <v>0.219</v>
          </cell>
          <cell r="F8">
            <v>0.67900000000000005</v>
          </cell>
          <cell r="G8">
            <v>0.73099999999999998</v>
          </cell>
        </row>
        <row r="9">
          <cell r="A9" t="str">
            <v>NJ</v>
          </cell>
          <cell r="B9">
            <v>65.025000000000006</v>
          </cell>
          <cell r="C9">
            <v>0.65400000000000003</v>
          </cell>
          <cell r="D9">
            <v>0.38100000000000001</v>
          </cell>
          <cell r="E9">
            <v>0.18</v>
          </cell>
          <cell r="F9">
            <v>0.81799999999999995</v>
          </cell>
          <cell r="G9">
            <v>0.95699999999999996</v>
          </cell>
        </row>
        <row r="10">
          <cell r="A10" t="str">
            <v>NV</v>
          </cell>
          <cell r="B10">
            <v>67.602000000000004</v>
          </cell>
          <cell r="C10">
            <v>0.69499999999999995</v>
          </cell>
          <cell r="D10">
            <v>0.314</v>
          </cell>
          <cell r="E10">
            <v>0.192</v>
          </cell>
          <cell r="F10">
            <v>0.85399999999999998</v>
          </cell>
          <cell r="G10">
            <v>1.3280000000000001</v>
          </cell>
        </row>
        <row r="11">
          <cell r="A11" t="str">
            <v>NY</v>
          </cell>
          <cell r="B11">
            <v>55.395000000000003</v>
          </cell>
          <cell r="C11">
            <v>0.47699999999999998</v>
          </cell>
          <cell r="D11">
            <v>0.19800000000000001</v>
          </cell>
          <cell r="E11">
            <v>0.17</v>
          </cell>
          <cell r="F11">
            <v>0.86599999999999999</v>
          </cell>
          <cell r="G11">
            <v>1.1519999999999999</v>
          </cell>
        </row>
        <row r="12">
          <cell r="A12" t="str">
            <v>OH</v>
          </cell>
          <cell r="B12">
            <v>44.023000000000003</v>
          </cell>
          <cell r="C12">
            <v>0.35699999999999998</v>
          </cell>
          <cell r="D12">
            <v>0.188</v>
          </cell>
          <cell r="E12">
            <v>0.214</v>
          </cell>
          <cell r="F12">
            <v>0.61799999999999999</v>
          </cell>
          <cell r="G12">
            <v>0.72399999999999998</v>
          </cell>
        </row>
        <row r="13">
          <cell r="A13" t="str">
            <v>PA</v>
          </cell>
          <cell r="B13">
            <v>47.764000000000003</v>
          </cell>
          <cell r="C13">
            <v>0.57599999999999996</v>
          </cell>
          <cell r="D13">
            <v>0.217</v>
          </cell>
          <cell r="E13">
            <v>0.127</v>
          </cell>
          <cell r="F13">
            <v>0.69499999999999995</v>
          </cell>
          <cell r="G13">
            <v>0.97799999999999998</v>
          </cell>
        </row>
        <row r="14">
          <cell r="A14" t="str">
            <v>TX</v>
          </cell>
          <cell r="B14">
            <v>57.006999999999998</v>
          </cell>
          <cell r="C14">
            <v>0.77400000000000002</v>
          </cell>
          <cell r="D14">
            <v>0.34300000000000003</v>
          </cell>
          <cell r="E14">
            <v>0.29899999999999999</v>
          </cell>
          <cell r="F14">
            <v>0.83299999999999996</v>
          </cell>
          <cell r="G14">
            <v>1.411</v>
          </cell>
        </row>
        <row r="15">
          <cell r="A15" t="str">
            <v>US</v>
          </cell>
          <cell r="B15">
            <v>60.642000000000003</v>
          </cell>
          <cell r="C15">
            <v>0.64300000000000002</v>
          </cell>
          <cell r="D15">
            <v>0.24399999999999999</v>
          </cell>
          <cell r="E15">
            <v>0.19700000000000001</v>
          </cell>
          <cell r="F15">
            <v>0.71699999999999997</v>
          </cell>
          <cell r="G15">
            <v>1.012</v>
          </cell>
        </row>
        <row r="16">
          <cell r="A16" t="str">
            <v>* Based on the population with a credit report</v>
          </cell>
        </row>
        <row r="17">
          <cell r="A17" t="str">
            <v>Return to Table of Contents</v>
          </cell>
        </row>
        <row r="18">
          <cell r="A18" t="str">
            <v>Source: New York Fed Consumer Credit Panel/Equifax</v>
          </cell>
        </row>
      </sheetData>
      <sheetData sheetId="61" refreshError="1"/>
      <sheetData sheetId="62">
        <row r="3">
          <cell r="B3" t="str">
            <v>03:Q1</v>
          </cell>
        </row>
        <row r="4">
          <cell r="B4">
            <v>2.9275832386002882</v>
          </cell>
        </row>
        <row r="5">
          <cell r="B5">
            <v>1.60034424734748</v>
          </cell>
        </row>
        <row r="6">
          <cell r="B6">
            <v>3.2989455286446203</v>
          </cell>
        </row>
        <row r="7">
          <cell r="B7">
            <v>2.3109369742623982</v>
          </cell>
        </row>
        <row r="8">
          <cell r="B8">
            <v>2.5698149849844523</v>
          </cell>
        </row>
        <row r="9">
          <cell r="B9">
            <v>2.6034931114895516</v>
          </cell>
        </row>
        <row r="10">
          <cell r="B10">
            <v>2.7950421026550396</v>
          </cell>
        </row>
        <row r="11">
          <cell r="B11">
            <v>3.2856691050963178</v>
          </cell>
        </row>
        <row r="12">
          <cell r="B12">
            <v>2.6907555434782608</v>
          </cell>
        </row>
        <row r="13">
          <cell r="B13">
            <v>2.812288202020202</v>
          </cell>
        </row>
        <row r="14">
          <cell r="B14">
            <v>3.9499721543722521</v>
          </cell>
        </row>
        <row r="15">
          <cell r="B15">
            <v>2.4905618630121831</v>
          </cell>
        </row>
      </sheetData>
      <sheetData sheetId="63" refreshError="1"/>
      <sheetData sheetId="64">
        <row r="3">
          <cell r="B3" t="str">
            <v>03:Q1</v>
          </cell>
        </row>
        <row r="4">
          <cell r="B4">
            <v>1.6349647054763636</v>
          </cell>
        </row>
        <row r="5">
          <cell r="B5">
            <v>0.59472183736544815</v>
          </cell>
        </row>
        <row r="6">
          <cell r="B6">
            <v>1.3065896076352068</v>
          </cell>
        </row>
        <row r="7">
          <cell r="B7">
            <v>1.2881748359882019</v>
          </cell>
        </row>
        <row r="8">
          <cell r="B8">
            <v>1.5066229273861138</v>
          </cell>
        </row>
        <row r="9">
          <cell r="B9">
            <v>1.7800445009686967</v>
          </cell>
        </row>
        <row r="10">
          <cell r="B10">
            <v>1.2994752383705648</v>
          </cell>
        </row>
        <row r="11">
          <cell r="B11">
            <v>1.6497721706864563</v>
          </cell>
        </row>
        <row r="12">
          <cell r="B12">
            <v>1.529880395810445</v>
          </cell>
        </row>
        <row r="13">
          <cell r="B13">
            <v>1.415040233614536</v>
          </cell>
        </row>
        <row r="14">
          <cell r="B14">
            <v>1.7237831374138628</v>
          </cell>
        </row>
        <row r="15">
          <cell r="B15">
            <v>1.2085820922703359</v>
          </cell>
        </row>
      </sheetData>
      <sheetData sheetId="65" refreshError="1"/>
      <sheetData sheetId="66">
        <row r="4">
          <cell r="B4" t="str">
            <v>03:Q1</v>
          </cell>
        </row>
        <row r="5">
          <cell r="B5">
            <v>8.0064772997570586</v>
          </cell>
        </row>
        <row r="6">
          <cell r="B6">
            <v>4.6558067077784608</v>
          </cell>
        </row>
        <row r="7">
          <cell r="B7">
            <v>7.2778988439985648</v>
          </cell>
        </row>
        <row r="8">
          <cell r="B8">
            <v>6.1455166788758193</v>
          </cell>
        </row>
        <row r="9">
          <cell r="B9">
            <v>7.564232285361042</v>
          </cell>
        </row>
        <row r="10">
          <cell r="B10">
            <v>7.0569397516746974</v>
          </cell>
        </row>
        <row r="11">
          <cell r="B11">
            <v>8.1290236977558283</v>
          </cell>
        </row>
        <row r="12">
          <cell r="B12">
            <v>7.2641583243656198</v>
          </cell>
        </row>
        <row r="13">
          <cell r="B13">
            <v>6.6349875129874851</v>
          </cell>
        </row>
        <row r="14">
          <cell r="B14">
            <v>6.6147527151527665</v>
          </cell>
        </row>
        <row r="15">
          <cell r="B15">
            <v>8.8994301449992008</v>
          </cell>
        </row>
        <row r="16">
          <cell r="B16">
            <v>6.6357814030534428</v>
          </cell>
        </row>
      </sheetData>
      <sheetData sheetId="67" refreshError="1"/>
      <sheetData sheetId="68">
        <row r="3">
          <cell r="B3" t="str">
            <v>03:Q1</v>
          </cell>
        </row>
        <row r="4">
          <cell r="B4">
            <v>2.9493381802192875</v>
          </cell>
        </row>
        <row r="5">
          <cell r="B5">
            <v>1.8722918836029099</v>
          </cell>
        </row>
        <row r="6">
          <cell r="B6">
            <v>2.8161237415608142</v>
          </cell>
        </row>
        <row r="7">
          <cell r="B7">
            <v>2.0504439993065535</v>
          </cell>
        </row>
        <row r="8">
          <cell r="B8">
            <v>3.0786231044298402</v>
          </cell>
        </row>
        <row r="9">
          <cell r="B9">
            <v>2.8022766939294517</v>
          </cell>
        </row>
        <row r="10">
          <cell r="B10">
            <v>3.0007698074591409</v>
          </cell>
        </row>
        <row r="11">
          <cell r="B11">
            <v>2.9468146497536769</v>
          </cell>
        </row>
        <row r="12">
          <cell r="B12">
            <v>2.4465512712594832</v>
          </cell>
        </row>
        <row r="13">
          <cell r="B13">
            <v>2.730137069484404</v>
          </cell>
        </row>
        <row r="14">
          <cell r="B14">
            <v>3.3960775496808275</v>
          </cell>
        </row>
        <row r="15">
          <cell r="B15">
            <v>2.5363225466351067</v>
          </cell>
        </row>
      </sheetData>
      <sheetData sheetId="69" refreshError="1"/>
      <sheetData sheetId="70">
        <row r="4">
          <cell r="B4" t="str">
            <v>03:Q1</v>
          </cell>
        </row>
        <row r="5">
          <cell r="B5">
            <v>0.12</v>
          </cell>
        </row>
        <row r="6">
          <cell r="B6">
            <v>0.06</v>
          </cell>
        </row>
        <row r="7">
          <cell r="B7">
            <v>0.1</v>
          </cell>
        </row>
        <row r="8">
          <cell r="B8">
            <v>0.09</v>
          </cell>
        </row>
        <row r="9">
          <cell r="B9">
            <v>0.11</v>
          </cell>
        </row>
        <row r="10">
          <cell r="B10">
            <v>7.0000000000000007E-2</v>
          </cell>
        </row>
        <row r="11">
          <cell r="B11">
            <v>0.15</v>
          </cell>
        </row>
        <row r="12">
          <cell r="B12">
            <v>0.06</v>
          </cell>
        </row>
        <row r="13">
          <cell r="B13">
            <v>0.1</v>
          </cell>
        </row>
        <row r="14">
          <cell r="B14">
            <v>0.08</v>
          </cell>
        </row>
        <row r="15">
          <cell r="B15">
            <v>0.1</v>
          </cell>
        </row>
        <row r="16">
          <cell r="B16">
            <v>0.08</v>
          </cell>
        </row>
      </sheetData>
      <sheetData sheetId="71" refreshError="1"/>
      <sheetData sheetId="72">
        <row r="4">
          <cell r="B4" t="str">
            <v>03:Q1</v>
          </cell>
        </row>
        <row r="5">
          <cell r="B5">
            <v>0.28999999999999998</v>
          </cell>
        </row>
        <row r="6">
          <cell r="B6">
            <v>0.22</v>
          </cell>
        </row>
        <row r="7">
          <cell r="B7">
            <v>0.21</v>
          </cell>
        </row>
        <row r="8">
          <cell r="B8">
            <v>0.3</v>
          </cell>
        </row>
        <row r="9">
          <cell r="B9">
            <v>0.28000000000000003</v>
          </cell>
        </row>
        <row r="10">
          <cell r="B10">
            <v>0.19</v>
          </cell>
        </row>
        <row r="11">
          <cell r="B11">
            <v>0.41</v>
          </cell>
        </row>
        <row r="12">
          <cell r="B12">
            <v>0.17</v>
          </cell>
        </row>
        <row r="13">
          <cell r="B13">
            <v>0.33</v>
          </cell>
        </row>
        <row r="14">
          <cell r="B14">
            <v>0.21</v>
          </cell>
        </row>
        <row r="15">
          <cell r="B15">
            <v>0.2</v>
          </cell>
        </row>
        <row r="16">
          <cell r="B16">
            <v>0.25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1A38D-271E-498B-908B-A18B1E7F2FF1}">
  <dimension ref="A1:Q96"/>
  <sheetViews>
    <sheetView zoomScaleNormal="100" workbookViewId="0">
      <pane xSplit="1" ySplit="4" topLeftCell="B64" activePane="bottomRight" state="frozen"/>
      <selection pane="topRight" activeCell="B1" sqref="B1"/>
      <selection pane="bottomLeft" activeCell="A5" sqref="A5"/>
      <selection pane="bottomRight" activeCell="A5" sqref="A5:H93"/>
    </sheetView>
  </sheetViews>
  <sheetFormatPr defaultColWidth="9.140625" defaultRowHeight="15"/>
  <cols>
    <col min="1" max="1" width="19" bestFit="1" customWidth="1"/>
    <col min="2" max="4" width="9.5703125" bestFit="1" customWidth="1"/>
    <col min="5" max="5" width="8" bestFit="1" customWidth="1"/>
    <col min="6" max="6" width="7.5703125" bestFit="1" customWidth="1"/>
    <col min="7" max="7" width="5.5703125" customWidth="1"/>
    <col min="8" max="8" width="6.5703125" bestFit="1" customWidth="1"/>
    <col min="9" max="9" width="10" bestFit="1" customWidth="1"/>
  </cols>
  <sheetData>
    <row r="1" spans="1:9" ht="20.25">
      <c r="A1" s="37" t="s">
        <v>0</v>
      </c>
      <c r="B1" s="37"/>
      <c r="C1" s="37"/>
      <c r="D1" s="37"/>
      <c r="E1" s="37"/>
      <c r="F1" s="37"/>
      <c r="G1" s="37"/>
      <c r="H1" s="37"/>
      <c r="I1" s="1" t="s">
        <v>1</v>
      </c>
    </row>
    <row r="2" spans="1:9" ht="20.25">
      <c r="A2" s="2" t="s">
        <v>2</v>
      </c>
      <c r="B2" s="3"/>
      <c r="C2" s="3"/>
      <c r="D2" s="3"/>
      <c r="E2" s="3"/>
      <c r="F2" s="3"/>
      <c r="G2" s="3"/>
      <c r="H2" s="3"/>
    </row>
    <row r="3" spans="1:9" ht="15" customHeight="1">
      <c r="A3" s="4" t="s">
        <v>3</v>
      </c>
      <c r="B3" s="3"/>
      <c r="C3" s="3"/>
      <c r="D3" s="3"/>
      <c r="E3" s="3"/>
      <c r="F3" s="3"/>
      <c r="G3" s="3"/>
      <c r="H3" s="3"/>
    </row>
    <row r="4" spans="1:9" s="5" customFormat="1" ht="15" customHeight="1"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H4" s="5" t="s">
        <v>9</v>
      </c>
    </row>
    <row r="5" spans="1:9">
      <c r="A5" s="6" t="s">
        <v>10</v>
      </c>
      <c r="B5" s="7">
        <v>31.94924</v>
      </c>
      <c r="C5" s="7">
        <v>14.46022</v>
      </c>
      <c r="D5" s="7">
        <v>27.046679999999999</v>
      </c>
      <c r="E5" s="7">
        <v>17.3</v>
      </c>
      <c r="F5" s="7">
        <v>21.2</v>
      </c>
      <c r="G5" s="7"/>
      <c r="H5" s="7">
        <v>111.95613999999999</v>
      </c>
    </row>
    <row r="6" spans="1:9">
      <c r="A6" s="6" t="s">
        <v>11</v>
      </c>
      <c r="B6" s="7">
        <v>26.809830000000002</v>
      </c>
      <c r="C6" s="7">
        <v>15.60173</v>
      </c>
      <c r="D6" s="7">
        <v>32.257429999999999</v>
      </c>
      <c r="E6" s="7">
        <v>18</v>
      </c>
      <c r="F6" s="7">
        <v>24.8</v>
      </c>
      <c r="G6" s="7"/>
      <c r="H6" s="7">
        <v>117.46899000000001</v>
      </c>
    </row>
    <row r="7" spans="1:9">
      <c r="A7" s="6" t="s">
        <v>12</v>
      </c>
      <c r="B7" s="7">
        <v>30.311039999999998</v>
      </c>
      <c r="C7" s="7">
        <v>15.613960000000001</v>
      </c>
      <c r="D7" s="7">
        <v>27.13449</v>
      </c>
      <c r="E7" s="7">
        <v>18.899999999999999</v>
      </c>
      <c r="F7" s="7">
        <v>24</v>
      </c>
      <c r="G7" s="7"/>
      <c r="H7" s="7">
        <v>115.95948999999999</v>
      </c>
    </row>
    <row r="8" spans="1:9">
      <c r="A8" s="6" t="s">
        <v>13</v>
      </c>
      <c r="B8" s="7">
        <v>30.043030000000002</v>
      </c>
      <c r="C8" s="7">
        <v>13.34953</v>
      </c>
      <c r="D8" s="7">
        <v>26.42858</v>
      </c>
      <c r="E8" s="7">
        <v>16.600000000000001</v>
      </c>
      <c r="F8" s="7">
        <v>23.4</v>
      </c>
      <c r="G8" s="7"/>
      <c r="H8" s="7">
        <v>109.82114000000001</v>
      </c>
    </row>
    <row r="9" spans="1:9">
      <c r="A9" s="6" t="s">
        <v>14</v>
      </c>
      <c r="B9" s="7">
        <v>27.47711</v>
      </c>
      <c r="C9" s="7">
        <v>11.97451</v>
      </c>
      <c r="D9" s="7">
        <v>22.976649999999999</v>
      </c>
      <c r="E9" s="7">
        <v>15.6</v>
      </c>
      <c r="F9" s="7">
        <v>22.4</v>
      </c>
      <c r="G9" s="7"/>
      <c r="H9" s="7">
        <v>100.42827</v>
      </c>
    </row>
    <row r="10" spans="1:9">
      <c r="A10" s="6" t="s">
        <v>15</v>
      </c>
      <c r="B10" s="7">
        <v>41.228499999999997</v>
      </c>
      <c r="C10" s="7">
        <v>19.742170000000002</v>
      </c>
      <c r="D10" s="7">
        <v>34.233519999999999</v>
      </c>
      <c r="E10" s="7">
        <v>21.7</v>
      </c>
      <c r="F10" s="7">
        <v>33.799999999999997</v>
      </c>
      <c r="G10" s="7"/>
      <c r="H10" s="7">
        <v>150.70418999999998</v>
      </c>
    </row>
    <row r="11" spans="1:9">
      <c r="A11" s="6" t="s">
        <v>16</v>
      </c>
      <c r="B11" s="7">
        <v>35.547370000000001</v>
      </c>
      <c r="C11" s="7">
        <v>22.56446</v>
      </c>
      <c r="D11" s="7">
        <v>35.304040000000001</v>
      </c>
      <c r="E11" s="7">
        <v>24.6</v>
      </c>
      <c r="F11" s="7">
        <v>41.7</v>
      </c>
      <c r="G11" s="7"/>
      <c r="H11" s="7">
        <v>159.71587</v>
      </c>
    </row>
    <row r="12" spans="1:9">
      <c r="A12" s="6" t="s">
        <v>17</v>
      </c>
      <c r="B12" s="7">
        <v>31.380330000000001</v>
      </c>
      <c r="C12" s="7">
        <v>18.101900000000001</v>
      </c>
      <c r="D12" s="7">
        <v>24.968070000000001</v>
      </c>
      <c r="E12" s="7">
        <v>13.7</v>
      </c>
      <c r="F12" s="7">
        <v>20.399999999999999</v>
      </c>
      <c r="G12" s="7"/>
      <c r="H12" s="7">
        <v>108.55029999999999</v>
      </c>
    </row>
    <row r="13" spans="1:9">
      <c r="A13" s="6" t="s">
        <v>18</v>
      </c>
      <c r="B13" s="7">
        <v>30.71246</v>
      </c>
      <c r="C13" s="7">
        <v>13.924580000000001</v>
      </c>
      <c r="D13" s="7">
        <v>21.214549999999999</v>
      </c>
      <c r="E13" s="7">
        <v>14.4</v>
      </c>
      <c r="F13" s="7">
        <v>21</v>
      </c>
      <c r="G13" s="7"/>
      <c r="H13" s="7">
        <v>101.25159000000001</v>
      </c>
    </row>
    <row r="14" spans="1:9">
      <c r="A14" s="6" t="s">
        <v>19</v>
      </c>
      <c r="B14" s="7">
        <v>36.41469</v>
      </c>
      <c r="C14" s="7">
        <v>16.848490000000002</v>
      </c>
      <c r="D14" s="7">
        <v>23.36336</v>
      </c>
      <c r="E14" s="7">
        <v>15.8</v>
      </c>
      <c r="F14" s="7">
        <v>21.9</v>
      </c>
      <c r="G14" s="7"/>
      <c r="H14" s="7">
        <v>114.32653999999999</v>
      </c>
    </row>
    <row r="15" spans="1:9">
      <c r="A15" s="6" t="s">
        <v>20</v>
      </c>
      <c r="B15" s="7">
        <v>36.597239999999999</v>
      </c>
      <c r="C15" s="7">
        <v>19.472539999999999</v>
      </c>
      <c r="D15" s="7">
        <v>28.594899999999999</v>
      </c>
      <c r="E15" s="7">
        <v>17.100000000000001</v>
      </c>
      <c r="F15" s="7">
        <v>27.3</v>
      </c>
      <c r="G15" s="7"/>
      <c r="H15" s="7">
        <v>129.06468000000001</v>
      </c>
    </row>
    <row r="16" spans="1:9">
      <c r="A16" s="6" t="s">
        <v>21</v>
      </c>
      <c r="B16" s="7">
        <v>30.805530000000001</v>
      </c>
      <c r="C16" s="7">
        <v>12.87097</v>
      </c>
      <c r="D16" s="7">
        <v>23.030899999999999</v>
      </c>
      <c r="E16" s="7">
        <v>15</v>
      </c>
      <c r="F16" s="7">
        <v>22.8</v>
      </c>
      <c r="G16" s="7"/>
      <c r="H16" s="7">
        <v>104.5074</v>
      </c>
    </row>
    <row r="17" spans="1:8">
      <c r="A17" s="6" t="s">
        <v>22</v>
      </c>
      <c r="B17" s="7">
        <v>27.740310000000001</v>
      </c>
      <c r="C17" s="7">
        <v>11.71996</v>
      </c>
      <c r="D17" s="7">
        <v>19.336590000000001</v>
      </c>
      <c r="E17" s="7">
        <v>13.7</v>
      </c>
      <c r="F17" s="7">
        <v>21.1</v>
      </c>
      <c r="G17" s="7"/>
      <c r="H17" s="7">
        <v>93.596859999999992</v>
      </c>
    </row>
    <row r="18" spans="1:8">
      <c r="A18" s="6" t="s">
        <v>23</v>
      </c>
      <c r="B18" s="7">
        <v>30.871500000000001</v>
      </c>
      <c r="C18" s="7">
        <v>13.89913</v>
      </c>
      <c r="D18" s="7">
        <v>22.22278</v>
      </c>
      <c r="E18" s="7">
        <v>15.6</v>
      </c>
      <c r="F18" s="7">
        <v>25.5</v>
      </c>
      <c r="G18" s="7"/>
      <c r="H18" s="7">
        <v>108.09340999999999</v>
      </c>
    </row>
    <row r="19" spans="1:8">
      <c r="A19" s="6" t="s">
        <v>24</v>
      </c>
      <c r="B19" s="7">
        <v>32.500369999999997</v>
      </c>
      <c r="C19" s="7">
        <v>15.057449999999999</v>
      </c>
      <c r="D19" s="7">
        <v>22.701450000000001</v>
      </c>
      <c r="E19" s="7">
        <v>17.100000000000001</v>
      </c>
      <c r="F19" s="7">
        <v>27.2</v>
      </c>
      <c r="G19" s="7"/>
      <c r="H19" s="7">
        <v>114.55926999999998</v>
      </c>
    </row>
    <row r="20" spans="1:8">
      <c r="A20" s="6" t="s">
        <v>25</v>
      </c>
      <c r="B20" s="7">
        <v>28.686340000000001</v>
      </c>
      <c r="C20" s="7">
        <v>11.841229999999999</v>
      </c>
      <c r="D20" s="7">
        <v>19.253299999999999</v>
      </c>
      <c r="E20" s="7">
        <v>14.2</v>
      </c>
      <c r="F20" s="7">
        <v>24.9</v>
      </c>
      <c r="G20" s="7"/>
      <c r="H20" s="7">
        <v>98.880869999999987</v>
      </c>
    </row>
    <row r="21" spans="1:8">
      <c r="A21" s="6" t="s">
        <v>26</v>
      </c>
      <c r="B21" s="7">
        <v>24.86262</v>
      </c>
      <c r="C21" s="7">
        <v>10.919980000000001</v>
      </c>
      <c r="D21" s="7">
        <v>17.724170000000001</v>
      </c>
      <c r="E21" s="7">
        <v>13.3</v>
      </c>
      <c r="F21" s="7">
        <v>22.1</v>
      </c>
      <c r="G21" s="7"/>
      <c r="H21" s="7">
        <v>88.906769999999995</v>
      </c>
    </row>
    <row r="22" spans="1:8">
      <c r="A22" s="6" t="s">
        <v>27</v>
      </c>
      <c r="B22" s="7">
        <v>25.935700000000001</v>
      </c>
      <c r="C22" s="7">
        <v>12.54724</v>
      </c>
      <c r="D22" s="7">
        <v>18.339939999999999</v>
      </c>
      <c r="E22" s="7">
        <v>14.8</v>
      </c>
      <c r="F22" s="7">
        <v>26.4</v>
      </c>
      <c r="G22" s="7"/>
      <c r="H22" s="7">
        <v>98.022879999999986</v>
      </c>
    </row>
    <row r="23" spans="1:8">
      <c r="A23" s="6" t="s">
        <v>28</v>
      </c>
      <c r="B23" s="7">
        <v>21.501899999999999</v>
      </c>
      <c r="C23" s="7">
        <v>11.67911</v>
      </c>
      <c r="D23" s="7">
        <v>20.544750000000001</v>
      </c>
      <c r="E23" s="7">
        <v>14</v>
      </c>
      <c r="F23" s="7">
        <v>25.8</v>
      </c>
      <c r="G23" s="7"/>
      <c r="H23" s="7">
        <v>93.525760000000005</v>
      </c>
    </row>
    <row r="24" spans="1:8">
      <c r="A24" s="6" t="s">
        <v>29</v>
      </c>
      <c r="B24" s="7">
        <v>16.942250000000001</v>
      </c>
      <c r="C24" s="7">
        <v>8.6436320000000002</v>
      </c>
      <c r="D24" s="7">
        <v>15.453939999999999</v>
      </c>
      <c r="E24" s="7">
        <v>11.3</v>
      </c>
      <c r="F24" s="7">
        <v>20.5</v>
      </c>
      <c r="G24" s="7"/>
      <c r="H24" s="7">
        <v>72.839821999999998</v>
      </c>
    </row>
    <row r="25" spans="1:8">
      <c r="A25" s="6" t="s">
        <v>30</v>
      </c>
      <c r="B25" s="7">
        <v>13.96847</v>
      </c>
      <c r="C25" s="7">
        <v>7.1719239999999997</v>
      </c>
      <c r="D25" s="7">
        <v>13.255039999999999</v>
      </c>
      <c r="E25" s="7">
        <v>10.199999999999999</v>
      </c>
      <c r="F25" s="7">
        <v>20.399999999999999</v>
      </c>
      <c r="G25" s="7"/>
      <c r="H25" s="7">
        <v>64.995433999999989</v>
      </c>
    </row>
    <row r="26" spans="1:8">
      <c r="A26" s="6" t="s">
        <v>31</v>
      </c>
      <c r="B26" s="7">
        <v>12.55306</v>
      </c>
      <c r="C26" s="7">
        <v>7.5489230000000003</v>
      </c>
      <c r="D26" s="7">
        <v>14.177720000000001</v>
      </c>
      <c r="E26" s="7">
        <v>11.4</v>
      </c>
      <c r="F26" s="7">
        <v>23.7</v>
      </c>
      <c r="G26" s="7"/>
      <c r="H26" s="7">
        <v>69.379702999999992</v>
      </c>
    </row>
    <row r="27" spans="1:8">
      <c r="A27" s="6" t="s">
        <v>32</v>
      </c>
      <c r="B27" s="7">
        <v>14.59981</v>
      </c>
      <c r="C27" s="7">
        <v>8.8157139999999998</v>
      </c>
      <c r="D27" s="7">
        <v>15.64508</v>
      </c>
      <c r="E27" s="7">
        <v>13.7</v>
      </c>
      <c r="F27" s="7">
        <v>28.2</v>
      </c>
      <c r="G27" s="7"/>
      <c r="H27" s="7">
        <v>80.960604000000004</v>
      </c>
    </row>
    <row r="28" spans="1:8">
      <c r="A28" s="6" t="s">
        <v>33</v>
      </c>
      <c r="B28" s="7">
        <v>11.446199999999999</v>
      </c>
      <c r="C28" s="7">
        <v>7.3519030000000001</v>
      </c>
      <c r="D28" s="7">
        <v>13.225440000000001</v>
      </c>
      <c r="E28" s="7">
        <v>11.3</v>
      </c>
      <c r="F28" s="7">
        <v>23.2</v>
      </c>
      <c r="G28" s="7"/>
      <c r="H28" s="7">
        <v>66.523543000000004</v>
      </c>
    </row>
    <row r="29" spans="1:8">
      <c r="A29" s="6" t="s">
        <v>34</v>
      </c>
      <c r="B29" s="7">
        <v>11.908329999999999</v>
      </c>
      <c r="C29" s="7">
        <v>7.5704549999999999</v>
      </c>
      <c r="D29" s="7">
        <v>12.873239999999999</v>
      </c>
      <c r="E29" s="7">
        <v>10.3</v>
      </c>
      <c r="F29" s="7">
        <v>22.6</v>
      </c>
      <c r="G29" s="7"/>
      <c r="H29" s="7">
        <v>65.252025000000003</v>
      </c>
    </row>
    <row r="30" spans="1:8">
      <c r="A30" s="6" t="s">
        <v>35</v>
      </c>
      <c r="B30" s="7">
        <v>15.582470000000001</v>
      </c>
      <c r="C30" s="7">
        <v>9.0929459999999995</v>
      </c>
      <c r="D30" s="7">
        <v>17.26426</v>
      </c>
      <c r="E30" s="7">
        <v>13.3</v>
      </c>
      <c r="F30" s="7">
        <v>28.6</v>
      </c>
      <c r="G30" s="7"/>
      <c r="H30" s="7">
        <v>83.839675999999997</v>
      </c>
    </row>
    <row r="31" spans="1:8">
      <c r="A31" s="6" t="s">
        <v>36</v>
      </c>
      <c r="B31" s="7">
        <v>15.37984</v>
      </c>
      <c r="C31" s="7">
        <v>10.20139</v>
      </c>
      <c r="D31" s="7">
        <v>19.455739999999999</v>
      </c>
      <c r="E31" s="7">
        <v>14</v>
      </c>
      <c r="F31" s="7">
        <v>30.8</v>
      </c>
      <c r="G31" s="7"/>
      <c r="H31" s="7">
        <v>89.836969999999994</v>
      </c>
    </row>
    <row r="32" spans="1:8">
      <c r="A32" s="6" t="s">
        <v>37</v>
      </c>
      <c r="B32" s="7">
        <v>16.818000000000001</v>
      </c>
      <c r="C32" s="7">
        <v>9.0100850000000001</v>
      </c>
      <c r="D32" s="7">
        <v>17.03312</v>
      </c>
      <c r="E32" s="7">
        <v>12.7</v>
      </c>
      <c r="F32" s="7">
        <v>26.4</v>
      </c>
      <c r="G32" s="7"/>
      <c r="H32" s="7">
        <v>81.961205000000007</v>
      </c>
    </row>
    <row r="33" spans="1:8">
      <c r="A33" s="6" t="s">
        <v>38</v>
      </c>
      <c r="B33" s="7">
        <v>14.98259</v>
      </c>
      <c r="C33" s="7">
        <v>9.4779060000000008</v>
      </c>
      <c r="D33" s="7">
        <v>16.206019999999999</v>
      </c>
      <c r="E33" s="7">
        <v>12.1</v>
      </c>
      <c r="F33" s="7">
        <v>26.4</v>
      </c>
      <c r="G33" s="7"/>
      <c r="H33" s="7">
        <v>79.166516000000001</v>
      </c>
    </row>
    <row r="34" spans="1:8">
      <c r="A34" s="6" t="s">
        <v>39</v>
      </c>
      <c r="B34" s="7">
        <v>18.423500000000001</v>
      </c>
      <c r="C34" s="7">
        <v>11.491680000000001</v>
      </c>
      <c r="D34" s="7">
        <v>18.878319999999999</v>
      </c>
      <c r="E34" s="7">
        <v>13.7</v>
      </c>
      <c r="F34" s="7">
        <v>29.9</v>
      </c>
      <c r="G34" s="7"/>
      <c r="H34" s="7">
        <v>92.393499999999989</v>
      </c>
    </row>
    <row r="35" spans="1:8">
      <c r="A35" s="6" t="s">
        <v>40</v>
      </c>
      <c r="B35" s="7">
        <v>20.321020000000001</v>
      </c>
      <c r="C35" s="7">
        <v>12.694570000000001</v>
      </c>
      <c r="D35" s="7">
        <v>22.100290000000001</v>
      </c>
      <c r="E35" s="7">
        <v>14.5</v>
      </c>
      <c r="F35" s="7">
        <v>29.8</v>
      </c>
      <c r="G35" s="7"/>
      <c r="H35" s="7">
        <v>99.415880000000001</v>
      </c>
    </row>
    <row r="36" spans="1:8">
      <c r="A36" s="6" t="s">
        <v>41</v>
      </c>
      <c r="B36" s="7">
        <v>17.667770000000001</v>
      </c>
      <c r="C36" s="7">
        <v>11.245419999999999</v>
      </c>
      <c r="D36" s="7">
        <v>18.706150000000001</v>
      </c>
      <c r="E36" s="7">
        <v>13.6</v>
      </c>
      <c r="F36" s="7">
        <v>27</v>
      </c>
      <c r="G36" s="7"/>
      <c r="H36" s="7">
        <v>88.219340000000003</v>
      </c>
    </row>
    <row r="37" spans="1:8">
      <c r="A37" s="6" t="s">
        <v>42</v>
      </c>
      <c r="B37" s="7">
        <v>19.137789999999999</v>
      </c>
      <c r="C37" s="7">
        <v>11.177619999999999</v>
      </c>
      <c r="D37" s="7">
        <v>18.44811</v>
      </c>
      <c r="E37" s="7">
        <v>12.8</v>
      </c>
      <c r="F37" s="7">
        <v>28</v>
      </c>
      <c r="G37" s="7"/>
      <c r="H37" s="7">
        <v>89.563519999999997</v>
      </c>
    </row>
    <row r="38" spans="1:8">
      <c r="A38" s="6" t="s">
        <v>43</v>
      </c>
      <c r="B38" s="7">
        <v>23.127649999999999</v>
      </c>
      <c r="C38" s="7">
        <v>13.579129999999999</v>
      </c>
      <c r="D38" s="7">
        <v>20.995280000000001</v>
      </c>
      <c r="E38" s="7">
        <v>14.8</v>
      </c>
      <c r="F38" s="7">
        <v>29.5</v>
      </c>
      <c r="G38" s="7"/>
      <c r="H38" s="7">
        <v>102.00206</v>
      </c>
    </row>
    <row r="39" spans="1:8">
      <c r="A39" s="6" t="s">
        <v>44</v>
      </c>
      <c r="B39" s="7">
        <v>24.445879999999999</v>
      </c>
      <c r="C39" s="7">
        <v>14.19711</v>
      </c>
      <c r="D39" s="7">
        <v>21.52103</v>
      </c>
      <c r="E39" s="7">
        <v>15.2</v>
      </c>
      <c r="F39" s="7">
        <v>32.200000000000003</v>
      </c>
      <c r="G39" s="7"/>
      <c r="H39" s="7">
        <v>107.56402</v>
      </c>
    </row>
    <row r="40" spans="1:8">
      <c r="A40" s="6" t="s">
        <v>45</v>
      </c>
      <c r="B40" s="7">
        <v>23.529800000000002</v>
      </c>
      <c r="C40" s="7">
        <v>14.885009999999999</v>
      </c>
      <c r="D40" s="7">
        <v>23.54111</v>
      </c>
      <c r="E40" s="7">
        <v>16.399999999999999</v>
      </c>
      <c r="F40" s="7">
        <v>31.6</v>
      </c>
      <c r="G40" s="7"/>
      <c r="H40" s="7">
        <v>109.95591999999999</v>
      </c>
    </row>
    <row r="41" spans="1:8">
      <c r="A41" s="6" t="s">
        <v>46</v>
      </c>
      <c r="B41" s="7">
        <v>20.33531</v>
      </c>
      <c r="C41" s="7">
        <v>13.36436</v>
      </c>
      <c r="D41" s="7">
        <v>21.460059999999999</v>
      </c>
      <c r="E41" s="7">
        <v>14.3</v>
      </c>
      <c r="F41" s="7">
        <v>29.7</v>
      </c>
      <c r="G41" s="7"/>
      <c r="H41" s="7">
        <v>99.159729999999996</v>
      </c>
    </row>
    <row r="42" spans="1:8">
      <c r="A42" s="6" t="s">
        <v>47</v>
      </c>
      <c r="B42" s="7">
        <v>26.16338</v>
      </c>
      <c r="C42" s="7">
        <v>15.67625</v>
      </c>
      <c r="D42" s="7">
        <v>25.09965</v>
      </c>
      <c r="E42" s="7">
        <v>15.3</v>
      </c>
      <c r="F42" s="7">
        <v>33.799999999999997</v>
      </c>
      <c r="G42" s="7"/>
      <c r="H42" s="7">
        <v>116.03927999999999</v>
      </c>
    </row>
    <row r="43" spans="1:8">
      <c r="A43" s="6" t="s">
        <v>48</v>
      </c>
      <c r="B43" s="7">
        <v>26.790500000000002</v>
      </c>
      <c r="C43" s="7">
        <v>17.433589999999999</v>
      </c>
      <c r="D43" s="7">
        <v>29.14611</v>
      </c>
      <c r="E43" s="7">
        <v>17.899999999999999</v>
      </c>
      <c r="F43" s="7">
        <v>36.299999999999997</v>
      </c>
      <c r="G43" s="7"/>
      <c r="H43" s="7">
        <v>127.57020000000001</v>
      </c>
    </row>
    <row r="44" spans="1:8">
      <c r="A44" s="6" t="s">
        <v>49</v>
      </c>
      <c r="B44" s="7">
        <v>25.193020000000001</v>
      </c>
      <c r="C44" s="7">
        <v>15.591189999999999</v>
      </c>
      <c r="D44" s="7">
        <v>22.50178</v>
      </c>
      <c r="E44" s="7">
        <v>15.1</v>
      </c>
      <c r="F44" s="7">
        <v>31.7</v>
      </c>
      <c r="G44" s="7"/>
      <c r="H44" s="7">
        <v>110.08599</v>
      </c>
    </row>
    <row r="45" spans="1:8">
      <c r="A45" s="6" t="s">
        <v>50</v>
      </c>
      <c r="B45" s="7">
        <v>23.111889999999999</v>
      </c>
      <c r="C45" s="7">
        <v>13.96747</v>
      </c>
      <c r="D45" s="7">
        <v>22.972570000000001</v>
      </c>
      <c r="E45" s="7">
        <v>15</v>
      </c>
      <c r="F45" s="7">
        <v>33.799999999999997</v>
      </c>
      <c r="G45" s="7"/>
      <c r="H45" s="7">
        <v>108.85193</v>
      </c>
    </row>
    <row r="46" spans="1:8">
      <c r="A46" s="6" t="s">
        <v>51</v>
      </c>
      <c r="B46" s="7">
        <v>28.10791</v>
      </c>
      <c r="C46" s="7">
        <v>17.452490000000001</v>
      </c>
      <c r="D46" s="7">
        <v>27.039380000000001</v>
      </c>
      <c r="E46" s="7">
        <v>17.8</v>
      </c>
      <c r="F46" s="7">
        <v>35.5</v>
      </c>
      <c r="G46" s="7"/>
      <c r="H46" s="7">
        <v>125.89978000000001</v>
      </c>
    </row>
    <row r="47" spans="1:8">
      <c r="A47" s="6" t="s">
        <v>52</v>
      </c>
      <c r="B47" s="7">
        <v>29.00751</v>
      </c>
      <c r="C47" s="7">
        <v>16.938040000000001</v>
      </c>
      <c r="D47" s="7">
        <v>29.371259999999999</v>
      </c>
      <c r="E47" s="7">
        <v>18.899999999999999</v>
      </c>
      <c r="F47" s="7">
        <v>38.4</v>
      </c>
      <c r="G47" s="7"/>
      <c r="H47" s="7">
        <v>132.61681000000002</v>
      </c>
    </row>
    <row r="48" spans="1:8">
      <c r="A48" s="6" t="s">
        <v>53</v>
      </c>
      <c r="B48" s="7">
        <v>28.630310000000001</v>
      </c>
      <c r="C48" s="7">
        <v>16.548749999999998</v>
      </c>
      <c r="D48" s="7">
        <v>26.807759999999998</v>
      </c>
      <c r="E48" s="7">
        <v>17.399999999999999</v>
      </c>
      <c r="F48" s="7">
        <v>36.1</v>
      </c>
      <c r="G48" s="7"/>
      <c r="H48" s="7">
        <v>125.48681999999999</v>
      </c>
    </row>
    <row r="49" spans="1:10">
      <c r="A49" s="6" t="s">
        <v>54</v>
      </c>
      <c r="B49" s="7">
        <v>25.278379999999999</v>
      </c>
      <c r="C49" s="7">
        <v>14.614929999999999</v>
      </c>
      <c r="D49" s="7">
        <v>25.4955</v>
      </c>
      <c r="E49" s="7">
        <v>15.7</v>
      </c>
      <c r="F49" s="7">
        <v>35.9</v>
      </c>
      <c r="G49" s="7"/>
      <c r="H49" s="7">
        <v>116.98881</v>
      </c>
    </row>
    <row r="50" spans="1:10">
      <c r="A50" s="6" t="s">
        <v>55</v>
      </c>
      <c r="B50" s="7">
        <v>37.637009999999997</v>
      </c>
      <c r="C50" s="7">
        <v>20.733910000000002</v>
      </c>
      <c r="D50" s="7">
        <v>30.888030000000001</v>
      </c>
      <c r="E50" s="7">
        <v>18.8</v>
      </c>
      <c r="F50" s="7">
        <v>40.200000000000003</v>
      </c>
      <c r="G50" s="7"/>
      <c r="H50" s="7">
        <v>148.25895</v>
      </c>
    </row>
    <row r="51" spans="1:10">
      <c r="A51" s="6" t="s">
        <v>56</v>
      </c>
      <c r="B51" s="7">
        <v>33.166220000000003</v>
      </c>
      <c r="C51" s="7">
        <v>20.103429999999999</v>
      </c>
      <c r="D51" s="7">
        <v>31.716190000000001</v>
      </c>
      <c r="E51" s="7">
        <v>19.899999999999999</v>
      </c>
      <c r="F51" s="7">
        <v>45.9</v>
      </c>
      <c r="G51" s="6"/>
      <c r="H51" s="7">
        <v>150.78584000000001</v>
      </c>
    </row>
    <row r="52" spans="1:10">
      <c r="A52" s="8" t="s">
        <v>57</v>
      </c>
      <c r="B52" s="7">
        <v>28.721979999999999</v>
      </c>
      <c r="C52" s="7">
        <v>17.055879999999998</v>
      </c>
      <c r="D52" s="7">
        <v>28.881489999999999</v>
      </c>
      <c r="E52" s="7">
        <v>18.5</v>
      </c>
      <c r="F52" s="7">
        <v>38.299999999999997</v>
      </c>
      <c r="G52" s="6"/>
      <c r="H52" s="7">
        <v>131.45934999999997</v>
      </c>
    </row>
    <row r="53" spans="1:10">
      <c r="A53" s="8" t="s">
        <v>58</v>
      </c>
      <c r="B53" s="7">
        <v>26.9</v>
      </c>
      <c r="C53" s="7">
        <v>16.100000000000001</v>
      </c>
      <c r="D53" s="7">
        <v>26.3</v>
      </c>
      <c r="E53" s="7">
        <v>17.100000000000001</v>
      </c>
      <c r="F53" s="7">
        <v>37.5</v>
      </c>
      <c r="G53" s="9"/>
      <c r="H53" s="7">
        <v>123.9</v>
      </c>
    </row>
    <row r="54" spans="1:10">
      <c r="A54" s="8" t="s">
        <v>59</v>
      </c>
      <c r="B54" s="7">
        <v>33.59413</v>
      </c>
      <c r="C54" s="7">
        <v>20.671389999999999</v>
      </c>
      <c r="D54" s="7">
        <v>31.666450000000001</v>
      </c>
      <c r="E54" s="7">
        <v>20.6</v>
      </c>
      <c r="F54" s="6">
        <v>42.4</v>
      </c>
      <c r="G54" s="6"/>
      <c r="H54" s="7">
        <v>148.93197000000001</v>
      </c>
      <c r="J54" s="10"/>
    </row>
    <row r="55" spans="1:10">
      <c r="A55" s="8" t="s">
        <v>60</v>
      </c>
      <c r="B55" s="7">
        <v>31.3</v>
      </c>
      <c r="C55" s="7">
        <v>19.8</v>
      </c>
      <c r="D55" s="7">
        <v>33.5</v>
      </c>
      <c r="E55" s="7">
        <v>21.2</v>
      </c>
      <c r="F55" s="6">
        <v>44</v>
      </c>
      <c r="G55" s="6"/>
      <c r="H55" s="7">
        <v>149.80000000000001</v>
      </c>
      <c r="J55" s="10"/>
    </row>
    <row r="56" spans="1:10">
      <c r="A56" s="8" t="s">
        <v>61</v>
      </c>
      <c r="B56" s="7">
        <v>27.2</v>
      </c>
      <c r="C56" s="7">
        <v>17.8</v>
      </c>
      <c r="D56" s="7">
        <v>31.8</v>
      </c>
      <c r="E56" s="7">
        <v>19.5</v>
      </c>
      <c r="F56" s="7">
        <v>45.7</v>
      </c>
      <c r="G56" s="6"/>
      <c r="H56" s="7">
        <f>SUM(B56:F56)</f>
        <v>142</v>
      </c>
      <c r="J56" s="10"/>
    </row>
    <row r="57" spans="1:10">
      <c r="A57" s="8" t="s">
        <v>62</v>
      </c>
      <c r="B57" s="7">
        <v>25.9</v>
      </c>
      <c r="C57" s="7">
        <v>15.6</v>
      </c>
      <c r="D57" s="7">
        <v>28.5</v>
      </c>
      <c r="E57" s="7">
        <v>20.399999999999999</v>
      </c>
      <c r="F57" s="7">
        <v>42</v>
      </c>
      <c r="G57" s="6"/>
      <c r="H57" s="7">
        <f>SUM(B57:F57)</f>
        <v>132.4</v>
      </c>
      <c r="J57" s="10"/>
    </row>
    <row r="58" spans="1:10">
      <c r="A58" s="8" t="s">
        <v>63</v>
      </c>
      <c r="B58" s="7">
        <v>32.269999999999996</v>
      </c>
      <c r="C58" s="7">
        <v>18.59</v>
      </c>
      <c r="D58" s="7">
        <v>33.17</v>
      </c>
      <c r="E58" s="7">
        <v>20.62</v>
      </c>
      <c r="F58" s="7">
        <v>43.71</v>
      </c>
      <c r="G58" s="6"/>
      <c r="H58" s="7">
        <v>148.4</v>
      </c>
      <c r="J58" s="10"/>
    </row>
    <row r="59" spans="1:10">
      <c r="A59" s="8" t="s">
        <v>64</v>
      </c>
      <c r="B59" s="7">
        <v>29.593389999999999</v>
      </c>
      <c r="C59" s="7">
        <v>18.218340000000001</v>
      </c>
      <c r="D59" s="7">
        <v>33.708379999999998</v>
      </c>
      <c r="E59" s="7">
        <v>23.046759999999999</v>
      </c>
      <c r="F59" s="7">
        <v>46.067819999999998</v>
      </c>
      <c r="G59" s="6"/>
      <c r="H59" s="7">
        <v>150.63468999999998</v>
      </c>
      <c r="J59" s="10"/>
    </row>
    <row r="60" spans="1:10">
      <c r="A60" s="11" t="s">
        <v>65</v>
      </c>
      <c r="B60" s="12">
        <v>25.996770000000001</v>
      </c>
      <c r="C60" s="12">
        <v>16.71095</v>
      </c>
      <c r="D60" s="12">
        <v>30.207750000000001</v>
      </c>
      <c r="E60" s="12">
        <v>20.193950000000001</v>
      </c>
      <c r="F60" s="12">
        <v>44.094439999999999</v>
      </c>
      <c r="G60" s="6"/>
      <c r="H60" s="12">
        <v>137.20385999999999</v>
      </c>
      <c r="J60" s="10"/>
    </row>
    <row r="61" spans="1:10">
      <c r="A61" s="11" t="s">
        <v>66</v>
      </c>
      <c r="B61" s="12">
        <v>24.658930000000002</v>
      </c>
      <c r="C61" s="12">
        <v>15.13152</v>
      </c>
      <c r="D61" s="12">
        <v>28.571269999999998</v>
      </c>
      <c r="E61" s="12">
        <v>18.91405</v>
      </c>
      <c r="F61" s="12">
        <v>43.593130000000002</v>
      </c>
      <c r="G61" s="6"/>
      <c r="H61" s="12">
        <v>130.8689</v>
      </c>
      <c r="J61" s="10"/>
    </row>
    <row r="62" spans="1:10">
      <c r="A62" s="11" t="s">
        <v>67</v>
      </c>
      <c r="B62" s="12">
        <v>32.15117</v>
      </c>
      <c r="C62" s="12">
        <v>18.36215</v>
      </c>
      <c r="D62" s="12">
        <v>31.587900000000001</v>
      </c>
      <c r="E62" s="12">
        <v>21.414020000000001</v>
      </c>
      <c r="F62" s="12">
        <v>47.710230000000003</v>
      </c>
      <c r="G62" s="6"/>
      <c r="H62" s="12">
        <v>151.22547</v>
      </c>
      <c r="J62" s="10"/>
    </row>
    <row r="63" spans="1:10">
      <c r="A63" s="11" t="s">
        <v>68</v>
      </c>
      <c r="B63" s="12">
        <v>32.551000000000002</v>
      </c>
      <c r="C63" s="12">
        <v>18.126169999999998</v>
      </c>
      <c r="D63" s="12">
        <v>33.813229999999997</v>
      </c>
      <c r="E63" s="12">
        <v>23.224779999999999</v>
      </c>
      <c r="F63" s="12">
        <v>49.872520000000002</v>
      </c>
      <c r="G63" s="6"/>
      <c r="H63" s="12">
        <v>157.58769999999998</v>
      </c>
      <c r="J63" s="10"/>
    </row>
    <row r="64" spans="1:10">
      <c r="A64" s="11" t="s">
        <v>69</v>
      </c>
      <c r="B64" s="12">
        <v>27.872229999999998</v>
      </c>
      <c r="C64" s="12">
        <v>16.683140000000002</v>
      </c>
      <c r="D64" s="12">
        <v>31.758990000000001</v>
      </c>
      <c r="E64" s="12">
        <v>20.302990000000001</v>
      </c>
      <c r="F64" s="12">
        <v>47.710410000000003</v>
      </c>
      <c r="G64" s="6"/>
      <c r="H64" s="12">
        <v>144.32776000000001</v>
      </c>
      <c r="J64" s="10"/>
    </row>
    <row r="65" spans="1:13">
      <c r="A65" s="11" t="s">
        <v>70</v>
      </c>
      <c r="B65" s="12">
        <v>27.880420000000001</v>
      </c>
      <c r="C65" s="12">
        <v>17.009499999999999</v>
      </c>
      <c r="D65" s="12">
        <v>29.135739999999998</v>
      </c>
      <c r="E65" s="12">
        <v>19.13287</v>
      </c>
      <c r="F65" s="12">
        <v>45.92689</v>
      </c>
      <c r="G65" s="6"/>
      <c r="H65" s="12">
        <v>139.08542</v>
      </c>
      <c r="J65" s="10"/>
    </row>
    <row r="66" spans="1:13">
      <c r="A66" s="13" t="s">
        <v>71</v>
      </c>
      <c r="B66" s="12">
        <v>32.69303</v>
      </c>
      <c r="C66" s="12">
        <v>19.227589999999999</v>
      </c>
      <c r="D66" s="12">
        <v>31.810020000000002</v>
      </c>
      <c r="E66" s="12">
        <v>22.595980000000001</v>
      </c>
      <c r="F66" s="12">
        <v>49.232750000000003</v>
      </c>
      <c r="G66" s="14"/>
      <c r="H66" s="12">
        <v>155.55937</v>
      </c>
      <c r="J66" s="10"/>
    </row>
    <row r="67" spans="1:13">
      <c r="A67" s="13" t="s">
        <v>72</v>
      </c>
      <c r="B67" s="12">
        <v>30.149450000000002</v>
      </c>
      <c r="C67" s="12">
        <v>18.872710000000001</v>
      </c>
      <c r="D67" s="12">
        <v>32.512419999999999</v>
      </c>
      <c r="E67" s="12">
        <v>24.572479999999999</v>
      </c>
      <c r="F67" s="12">
        <v>53.033369999999998</v>
      </c>
      <c r="G67" s="14"/>
      <c r="H67" s="12">
        <v>159.14043000000001</v>
      </c>
      <c r="J67" s="10"/>
    </row>
    <row r="68" spans="1:13">
      <c r="A68" s="13" t="s">
        <v>73</v>
      </c>
      <c r="B68" s="12">
        <v>30.96696</v>
      </c>
      <c r="C68" s="12">
        <v>16.66676</v>
      </c>
      <c r="D68" s="12">
        <v>33.547919999999998</v>
      </c>
      <c r="E68" s="12">
        <v>22.427969999999998</v>
      </c>
      <c r="F68" s="12">
        <v>54.959919999999997</v>
      </c>
      <c r="G68" s="14"/>
      <c r="H68" s="12">
        <v>158.56952999999999</v>
      </c>
      <c r="J68" s="10"/>
    </row>
    <row r="69" spans="1:13">
      <c r="A69" s="13" t="s">
        <v>74</v>
      </c>
      <c r="B69" s="12">
        <v>28.36947</v>
      </c>
      <c r="C69" s="12">
        <v>15.62683</v>
      </c>
      <c r="D69" s="12">
        <v>28.97953</v>
      </c>
      <c r="E69" s="12">
        <v>24.353259999999999</v>
      </c>
      <c r="F69" s="12">
        <v>52.971110000000003</v>
      </c>
      <c r="G69" s="14"/>
      <c r="H69" s="12">
        <v>150.30019999999999</v>
      </c>
      <c r="J69" s="10"/>
    </row>
    <row r="70" spans="1:13">
      <c r="A70" s="13" t="s">
        <v>75</v>
      </c>
      <c r="B70" s="12">
        <v>25.141539999999999</v>
      </c>
      <c r="C70" s="12">
        <v>15.78881</v>
      </c>
      <c r="D70" s="12">
        <v>29.49605</v>
      </c>
      <c r="E70" s="12">
        <v>20.152229999999999</v>
      </c>
      <c r="F70" s="12">
        <v>45.272150000000003</v>
      </c>
      <c r="G70" s="14"/>
      <c r="H70" s="12">
        <v>135.85078000000001</v>
      </c>
      <c r="J70" s="10"/>
    </row>
    <row r="71" spans="1:13">
      <c r="A71" s="13" t="s">
        <v>76</v>
      </c>
      <c r="B71" s="12">
        <v>28.339009999999998</v>
      </c>
      <c r="C71" s="12">
        <v>20.724350000000001</v>
      </c>
      <c r="D71" s="12">
        <v>35.918579999999999</v>
      </c>
      <c r="E71" s="12">
        <v>25.678550000000001</v>
      </c>
      <c r="F71" s="12">
        <v>57.571849999999998</v>
      </c>
      <c r="G71" s="14"/>
      <c r="H71" s="12">
        <v>168.23234000000002</v>
      </c>
      <c r="J71" s="10"/>
    </row>
    <row r="72" spans="1:13">
      <c r="A72" s="13" t="s">
        <v>77</v>
      </c>
      <c r="B72" s="12">
        <v>28.063210000000002</v>
      </c>
      <c r="C72" s="12">
        <v>19.676179999999999</v>
      </c>
      <c r="D72" s="12">
        <v>31.36533</v>
      </c>
      <c r="E72" s="12">
        <v>24.373899999999999</v>
      </c>
      <c r="F72" s="12">
        <v>58.127049999999997</v>
      </c>
      <c r="G72" s="14"/>
      <c r="H72" s="12">
        <v>161.60567</v>
      </c>
      <c r="J72" s="10"/>
    </row>
    <row r="73" spans="1:13">
      <c r="A73" s="13" t="s">
        <v>78</v>
      </c>
      <c r="B73" s="12">
        <v>23.32695</v>
      </c>
      <c r="C73" s="12">
        <v>17.16864</v>
      </c>
      <c r="D73" s="12">
        <v>32.838740000000001</v>
      </c>
      <c r="E73" s="12">
        <v>23.479749999999999</v>
      </c>
      <c r="F73" s="12">
        <v>55.933149999999998</v>
      </c>
      <c r="G73" s="14"/>
      <c r="H73" s="12">
        <v>152.74723</v>
      </c>
      <c r="J73" s="10"/>
    </row>
    <row r="74" spans="1:13">
      <c r="A74" s="13" t="s">
        <v>79</v>
      </c>
      <c r="B74" s="12">
        <v>35.229840000000003</v>
      </c>
      <c r="C74" s="12">
        <v>23.298279999999998</v>
      </c>
      <c r="D74" s="12">
        <v>45.061450000000001</v>
      </c>
      <c r="E74" s="12">
        <v>31.107469999999999</v>
      </c>
      <c r="F74" s="12">
        <v>67.17192</v>
      </c>
      <c r="G74" s="14"/>
      <c r="H74" s="12">
        <v>201.86896000000002</v>
      </c>
      <c r="J74" s="10"/>
    </row>
    <row r="75" spans="1:13">
      <c r="A75" s="13" t="s">
        <v>80</v>
      </c>
      <c r="B75" s="12">
        <v>33.80471</v>
      </c>
      <c r="C75" s="12">
        <v>23.711379999999998</v>
      </c>
      <c r="D75" s="12">
        <v>45.57488</v>
      </c>
      <c r="E75" s="12">
        <v>32.455660000000002</v>
      </c>
      <c r="F75" s="12">
        <v>63.216369999999998</v>
      </c>
      <c r="G75" s="14"/>
      <c r="H75" s="12">
        <v>198.76300000000001</v>
      </c>
      <c r="J75" s="10"/>
    </row>
    <row r="76" spans="1:13">
      <c r="A76" s="13" t="s">
        <v>81</v>
      </c>
      <c r="B76" s="12">
        <v>30.905470000000001</v>
      </c>
      <c r="C76" s="12">
        <v>22.298670000000001</v>
      </c>
      <c r="D76" s="12">
        <v>40.660310000000003</v>
      </c>
      <c r="E76" s="12">
        <v>27.91086</v>
      </c>
      <c r="F76" s="12">
        <v>58.7669</v>
      </c>
      <c r="G76" s="14"/>
      <c r="H76" s="12">
        <v>180.54221000000001</v>
      </c>
      <c r="J76" s="10"/>
    </row>
    <row r="77" spans="1:13">
      <c r="A77" s="13" t="s">
        <v>82</v>
      </c>
      <c r="B77" s="12">
        <v>27.741879999999998</v>
      </c>
      <c r="C77" s="12">
        <v>21.999020000000002</v>
      </c>
      <c r="D77" s="12">
        <v>40.31765</v>
      </c>
      <c r="E77" s="12">
        <v>27.047509999999999</v>
      </c>
      <c r="F77" s="12">
        <v>59.533799999999999</v>
      </c>
      <c r="G77" s="14"/>
      <c r="H77" s="12">
        <v>176.63986</v>
      </c>
      <c r="J77" s="10"/>
    </row>
    <row r="78" spans="1:13" s="18" customFormat="1">
      <c r="A78" s="15" t="s">
        <v>83</v>
      </c>
      <c r="B78" s="16">
        <v>35.413029999999999</v>
      </c>
      <c r="C78" s="16">
        <v>23.670819999999999</v>
      </c>
      <c r="D78" s="16">
        <v>44.687089999999998</v>
      </c>
      <c r="E78" s="16">
        <v>29.760680000000001</v>
      </c>
      <c r="F78" s="16">
        <v>65.304929999999999</v>
      </c>
      <c r="G78" s="17"/>
      <c r="H78" s="16">
        <v>198.83654999999999</v>
      </c>
      <c r="I78"/>
      <c r="J78" s="10"/>
      <c r="K78"/>
      <c r="L78"/>
      <c r="M78"/>
    </row>
    <row r="79" spans="1:13">
      <c r="A79" s="13" t="s">
        <v>84</v>
      </c>
      <c r="B79" s="12">
        <v>30.281269999999999</v>
      </c>
      <c r="C79" s="12">
        <v>21.284400000000002</v>
      </c>
      <c r="D79" s="12">
        <v>40.796370000000003</v>
      </c>
      <c r="E79" s="12">
        <v>30.624189999999999</v>
      </c>
      <c r="F79" s="12">
        <v>62.39293</v>
      </c>
      <c r="G79" s="14"/>
      <c r="H79" s="12">
        <v>185.37916000000001</v>
      </c>
      <c r="J79" s="10"/>
    </row>
    <row r="80" spans="1:13">
      <c r="A80" s="13" t="s">
        <v>85</v>
      </c>
      <c r="B80" s="12">
        <v>28.5</v>
      </c>
      <c r="C80" s="12">
        <v>20.8</v>
      </c>
      <c r="D80" s="12">
        <v>44.3</v>
      </c>
      <c r="E80" s="12">
        <v>30.2</v>
      </c>
      <c r="F80" s="12">
        <v>62.4</v>
      </c>
      <c r="G80" s="14"/>
      <c r="H80" s="12">
        <v>186.2</v>
      </c>
      <c r="J80" s="10"/>
      <c r="K80" s="10"/>
    </row>
    <row r="81" spans="1:17">
      <c r="A81" s="13" t="s">
        <v>86</v>
      </c>
      <c r="B81" s="12">
        <v>23.413430000000002</v>
      </c>
      <c r="C81" s="12">
        <v>16.292149999999999</v>
      </c>
      <c r="D81" s="12">
        <v>34.920729999999999</v>
      </c>
      <c r="E81" s="12">
        <v>27.523479999999999</v>
      </c>
      <c r="F81" s="12">
        <v>59.505400000000002</v>
      </c>
      <c r="G81" s="14"/>
      <c r="H81" s="12">
        <v>161.65519</v>
      </c>
      <c r="J81" s="10"/>
      <c r="K81" s="10"/>
    </row>
    <row r="82" spans="1:17">
      <c r="A82" s="13" t="s">
        <v>87</v>
      </c>
      <c r="B82" s="12">
        <v>29.810980000000001</v>
      </c>
      <c r="C82" s="12">
        <v>18.51933</v>
      </c>
      <c r="D82" s="12">
        <v>38.440719999999999</v>
      </c>
      <c r="E82" s="12">
        <v>28.35557</v>
      </c>
      <c r="F82" s="12">
        <v>63.827889999999996</v>
      </c>
      <c r="G82" s="14"/>
      <c r="H82" s="12">
        <v>178.95448999999999</v>
      </c>
      <c r="J82" s="10"/>
      <c r="K82" s="10"/>
    </row>
    <row r="83" spans="1:17">
      <c r="A83" s="13" t="s">
        <v>88</v>
      </c>
      <c r="B83" s="12">
        <v>28.02047</v>
      </c>
      <c r="C83" s="12">
        <v>18.793289999999999</v>
      </c>
      <c r="D83" s="12">
        <v>38.79027</v>
      </c>
      <c r="E83" s="12">
        <v>27.57807</v>
      </c>
      <c r="F83" s="12">
        <v>66.10127</v>
      </c>
      <c r="G83" s="14"/>
      <c r="H83" s="12">
        <v>179.28336999999999</v>
      </c>
      <c r="J83" s="10"/>
      <c r="K83" s="10"/>
    </row>
    <row r="84" spans="1:17">
      <c r="A84" s="13" t="s">
        <v>89</v>
      </c>
      <c r="B84" s="12">
        <v>25.540289999999999</v>
      </c>
      <c r="C84" s="12">
        <v>17.049499999999998</v>
      </c>
      <c r="D84" s="12">
        <v>34.550730000000001</v>
      </c>
      <c r="E84" s="12">
        <v>25.257380000000001</v>
      </c>
      <c r="F84" s="12">
        <v>62.52769</v>
      </c>
      <c r="G84" s="14"/>
      <c r="H84" s="12">
        <v>164.92559</v>
      </c>
      <c r="J84" s="10"/>
      <c r="K84" s="10"/>
    </row>
    <row r="85" spans="1:17">
      <c r="A85" s="13" t="s">
        <v>90</v>
      </c>
      <c r="B85" s="12">
        <v>26.233309999999999</v>
      </c>
      <c r="C85" s="12">
        <v>15.849550000000001</v>
      </c>
      <c r="D85" s="12">
        <v>34.265569999999997</v>
      </c>
      <c r="E85" s="12">
        <v>25.588180000000001</v>
      </c>
      <c r="F85" s="12">
        <v>63.602440000000001</v>
      </c>
      <c r="G85" s="14"/>
      <c r="H85" s="12">
        <v>165.53905</v>
      </c>
      <c r="J85" s="10"/>
      <c r="K85" s="10"/>
      <c r="M85" s="20"/>
      <c r="N85" s="20"/>
      <c r="O85" s="20"/>
      <c r="P85" s="20"/>
      <c r="Q85" s="20"/>
    </row>
    <row r="86" spans="1:17">
      <c r="A86" s="13" t="s">
        <v>91</v>
      </c>
      <c r="B86" s="12">
        <v>29.973880000000001</v>
      </c>
      <c r="C86" s="12">
        <v>18.736709999999999</v>
      </c>
      <c r="D86" s="12">
        <v>36.563429999999997</v>
      </c>
      <c r="E86" s="12">
        <v>28.284690000000001</v>
      </c>
      <c r="F86" s="12">
        <v>65.589529999999996</v>
      </c>
      <c r="G86" s="14"/>
      <c r="H86" s="12">
        <v>179.14823999999999</v>
      </c>
      <c r="J86" s="10"/>
      <c r="K86" s="10"/>
    </row>
    <row r="87" spans="1:17">
      <c r="A87" s="13" t="s">
        <v>92</v>
      </c>
      <c r="B87" s="12">
        <v>31.152159999999999</v>
      </c>
      <c r="C87" s="12">
        <v>18.234449999999999</v>
      </c>
      <c r="D87" s="12">
        <v>37.30677</v>
      </c>
      <c r="E87" s="12">
        <v>28.558050000000001</v>
      </c>
      <c r="F87" s="12">
        <v>68.961969999999994</v>
      </c>
      <c r="G87" s="14"/>
      <c r="H87" s="12">
        <v>184.21339999999998</v>
      </c>
      <c r="J87" s="10"/>
      <c r="K87" s="10"/>
    </row>
    <row r="88" spans="1:17">
      <c r="A88" s="13" t="s">
        <v>93</v>
      </c>
      <c r="B88" s="12">
        <v>28.265219999999999</v>
      </c>
      <c r="C88" s="12">
        <v>17.211880000000001</v>
      </c>
      <c r="D88" s="12">
        <v>36.231360000000002</v>
      </c>
      <c r="E88" s="12">
        <v>27.66272</v>
      </c>
      <c r="F88" s="12">
        <v>65.711489999999998</v>
      </c>
      <c r="G88" s="14"/>
      <c r="H88" s="12">
        <v>175.08267000000001</v>
      </c>
      <c r="J88" s="10"/>
      <c r="K88" s="10"/>
    </row>
    <row r="89" spans="1:17">
      <c r="A89" s="13" t="s">
        <v>94</v>
      </c>
      <c r="B89" s="12">
        <v>25.743739999999999</v>
      </c>
      <c r="C89" s="12">
        <v>14.04664</v>
      </c>
      <c r="D89" s="12">
        <v>32.888399999999997</v>
      </c>
      <c r="E89" s="12">
        <v>24.83053</v>
      </c>
      <c r="F89" s="12">
        <v>68.055239999999998</v>
      </c>
      <c r="G89" s="12"/>
      <c r="H89" s="12">
        <v>165.56455</v>
      </c>
      <c r="J89" s="10"/>
      <c r="K89" s="10"/>
    </row>
    <row r="90" spans="1:17">
      <c r="A90" s="13" t="s">
        <v>95</v>
      </c>
      <c r="B90" s="12">
        <v>30.4</v>
      </c>
      <c r="C90" s="12">
        <v>17.7</v>
      </c>
      <c r="D90" s="12">
        <v>36.1</v>
      </c>
      <c r="E90" s="12">
        <v>28.6</v>
      </c>
      <c r="F90" s="12">
        <v>75.099999999999994</v>
      </c>
      <c r="G90" s="14"/>
      <c r="H90" s="12">
        <v>187.89999999999998</v>
      </c>
      <c r="J90" s="10"/>
      <c r="K90" s="10"/>
    </row>
    <row r="91" spans="1:17">
      <c r="A91" s="13" t="s">
        <v>96</v>
      </c>
      <c r="B91" s="12">
        <v>27.550740000000001</v>
      </c>
      <c r="C91" s="12">
        <v>17.469259999999998</v>
      </c>
      <c r="D91" s="12">
        <v>35.768990000000002</v>
      </c>
      <c r="E91" s="12">
        <v>29.638069999999999</v>
      </c>
      <c r="F91" s="12">
        <v>73.437100000000001</v>
      </c>
      <c r="G91" s="14"/>
      <c r="H91" s="12">
        <v>183.86416</v>
      </c>
    </row>
    <row r="92" spans="1:17">
      <c r="A92" s="13" t="s">
        <v>97</v>
      </c>
      <c r="B92" s="12">
        <v>31.75</v>
      </c>
      <c r="C92" s="12">
        <v>17.47</v>
      </c>
      <c r="D92" s="12">
        <v>37.299999999999997</v>
      </c>
      <c r="E92" s="12">
        <v>26.23</v>
      </c>
      <c r="F92" s="12">
        <v>68.09</v>
      </c>
      <c r="G92" s="14"/>
      <c r="H92" s="12">
        <f>SUM(B92:F92)</f>
        <v>180.84</v>
      </c>
    </row>
    <row r="93" spans="1:17">
      <c r="A93" s="13" t="s">
        <v>98</v>
      </c>
      <c r="B93" s="12">
        <v>28.42</v>
      </c>
      <c r="C93" s="12">
        <v>21.54</v>
      </c>
      <c r="D93" s="12">
        <v>32.68</v>
      </c>
      <c r="E93" s="12">
        <v>21.39</v>
      </c>
      <c r="F93" s="12">
        <v>78.02</v>
      </c>
      <c r="G93" s="14"/>
      <c r="H93" s="12">
        <f>SUM(B93:F93)</f>
        <v>182.05</v>
      </c>
      <c r="J93" s="19"/>
      <c r="K93" s="19"/>
      <c r="L93" s="19"/>
      <c r="M93" s="19"/>
      <c r="N93" s="19"/>
    </row>
    <row r="94" spans="1:17">
      <c r="B94" s="20">
        <f>AVERAGE(B69:B93)</f>
        <v>28.855623999999992</v>
      </c>
      <c r="C94" s="20">
        <f t="shared" ref="C94:H94" si="0">AVERAGE(C69:C93)</f>
        <v>18.998405600000009</v>
      </c>
      <c r="D94" s="20">
        <f t="shared" si="0"/>
        <v>37.032118000000004</v>
      </c>
      <c r="E94" s="20">
        <f t="shared" si="0"/>
        <v>27.065632000000001</v>
      </c>
      <c r="F94" s="20">
        <f t="shared" si="0"/>
        <v>63.487687199999989</v>
      </c>
      <c r="G94" s="20" t="e">
        <f t="shared" si="0"/>
        <v>#DIV/0!</v>
      </c>
      <c r="H94" s="20">
        <f t="shared" si="0"/>
        <v>175.43946680000002</v>
      </c>
      <c r="J94" s="19"/>
      <c r="K94" s="19"/>
      <c r="L94" s="19"/>
      <c r="M94" s="19"/>
      <c r="N94" s="19"/>
    </row>
    <row r="95" spans="1:17">
      <c r="B95" s="19"/>
      <c r="C95" s="19"/>
      <c r="D95" s="19"/>
      <c r="E95" s="19"/>
      <c r="F95" s="19"/>
    </row>
    <row r="96" spans="1:17">
      <c r="B96" s="21"/>
      <c r="C96" s="21"/>
      <c r="D96" s="21"/>
      <c r="E96" s="21"/>
      <c r="F96" s="21"/>
    </row>
  </sheetData>
  <mergeCells count="1">
    <mergeCell ref="A1:H1"/>
  </mergeCells>
  <hyperlinks>
    <hyperlink ref="A3" location="'TABLE OF CONTENTS'!A1" display="Return to Table of Contents" xr:uid="{7BB062A9-1BB6-40A4-89C9-2ECA54BFD1BA}"/>
  </hyperlinks>
  <pageMargins left="0.7" right="0.7" top="0.75" bottom="0.75" header="0.3" footer="0.3"/>
  <pageSetup orientation="portrait" r:id="rId1"/>
  <headerFooter>
    <oddHeader>&amp;L&amp;"Aptos"&amp;11&amp;K000000 NONCONFIDENTIAL // EXTERNAL&amp;1#_x000D_&amp;"Calibri"&amp;11&amp;K000000&amp;"Calibri"&amp;11&amp;K000000&amp;"Calibri"&amp;11&amp;K000000&amp;"Calibri"&amp;11&amp;K000000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9154A-49A0-443B-84A1-3B554E59D255}">
  <dimension ref="B2:G18"/>
  <sheetViews>
    <sheetView tabSelected="1" workbookViewId="0">
      <selection activeCell="E20" sqref="A12:E20"/>
    </sheetView>
  </sheetViews>
  <sheetFormatPr defaultRowHeight="15"/>
  <cols>
    <col min="2" max="2" width="30.85546875" customWidth="1"/>
    <col min="3" max="3" width="22.42578125" style="21" customWidth="1"/>
    <col min="4" max="6" width="23.42578125" style="21" customWidth="1"/>
  </cols>
  <sheetData>
    <row r="2" spans="2:7" s="22" customFormat="1">
      <c r="C2" s="32"/>
      <c r="D2" s="32"/>
      <c r="E2" s="32"/>
      <c r="F2" s="32"/>
    </row>
    <row r="4" spans="2:7">
      <c r="B4" s="50"/>
      <c r="C4" s="51" t="s">
        <v>99</v>
      </c>
      <c r="D4" s="51" t="s">
        <v>100</v>
      </c>
      <c r="E4" s="51" t="s">
        <v>101</v>
      </c>
      <c r="F4" s="51" t="s">
        <v>102</v>
      </c>
      <c r="G4" s="22"/>
    </row>
    <row r="5" spans="2:7">
      <c r="B5" s="41" t="s">
        <v>103</v>
      </c>
      <c r="C5" s="46">
        <f>AVERAGE('Auto Loan Origination Data'!B1:B24)</f>
        <v>29.915868</v>
      </c>
      <c r="D5" s="46">
        <f>AVERAGE('Auto Loan Origination Data'!B$25:B$44)</f>
        <v>18.618719499999997</v>
      </c>
      <c r="E5" s="47">
        <f>AVERAGE('Auto Loan Origination Data'!B45:B64)</f>
        <v>29.182441499999999</v>
      </c>
      <c r="F5" s="46">
        <f>AVERAGE('Auto Loan Origination Data'!B65:B92)</f>
        <v>29.09501642857143</v>
      </c>
    </row>
    <row r="6" spans="2:7">
      <c r="B6" s="48" t="s">
        <v>5</v>
      </c>
      <c r="C6" s="49">
        <f>AVERAGE('Auto Loan Origination Data'!C1:C24)</f>
        <v>14.5416396</v>
      </c>
      <c r="D6" s="49">
        <f>AVERAGE('Auto Loan Origination Data'!C25:C44)</f>
        <v>11.378858800000001</v>
      </c>
      <c r="E6" s="49">
        <f>AVERAGE('Auto Loan Origination Data'!C45:C64)</f>
        <v>17.460428</v>
      </c>
      <c r="F6" s="49">
        <f>AVERAGE('Auto Loan Origination Data'!C65:C92)</f>
        <v>18.757025000000006</v>
      </c>
    </row>
    <row r="7" spans="2:7">
      <c r="B7" s="41" t="s">
        <v>6</v>
      </c>
      <c r="C7" s="46">
        <f>AVERAGE('Auto Loan Origination Data'!D1:D24)</f>
        <v>24.106504500000003</v>
      </c>
      <c r="D7" s="46">
        <f>AVERAGE('Auto Loan Origination Data'!D25:D44)</f>
        <v>19.076677500000002</v>
      </c>
      <c r="E7" s="46">
        <f>AVERAGE('Auto Loan Origination Data'!D45:D64)</f>
        <v>29.887807500000001</v>
      </c>
      <c r="F7" s="46">
        <f>AVERAGE('Auto Loan Origination Data'!D65:D92)</f>
        <v>36.433180357142867</v>
      </c>
    </row>
    <row r="8" spans="2:7">
      <c r="B8" s="48" t="s">
        <v>7</v>
      </c>
      <c r="C8" s="49">
        <f>AVERAGE('Auto Loan Origination Data'!E1:E24)</f>
        <v>16.134999999999998</v>
      </c>
      <c r="D8" s="49">
        <f>AVERAGE('Auto Loan Origination Data'!E25:E44)</f>
        <v>13.63</v>
      </c>
      <c r="E8" s="49">
        <f>AVERAGE('Auto Loan Origination Data'!E45:E64)</f>
        <v>19.4258275</v>
      </c>
      <c r="F8" s="49">
        <f>AVERAGE('Auto Loan Origination Data'!E65:E92)</f>
        <v>26.570717857142853</v>
      </c>
    </row>
    <row r="9" spans="2:7">
      <c r="B9" s="41" t="s">
        <v>8</v>
      </c>
      <c r="C9" s="46">
        <f>AVERAGE('Auto Loan Origination Data'!F1:F24)</f>
        <v>24.910000000000004</v>
      </c>
      <c r="D9" s="46">
        <f>AVERAGE('Auto Loan Origination Data'!F25:F44)</f>
        <v>28.490000000000002</v>
      </c>
      <c r="E9" s="46">
        <f>AVERAGE('Auto Loan Origination Data'!F45:F64)</f>
        <v>41.9229275</v>
      </c>
      <c r="F9" s="46">
        <f>AVERAGE('Auto Loan Origination Data'!F65:F92)</f>
        <v>61.1544682142857</v>
      </c>
    </row>
    <row r="10" spans="2:7">
      <c r="B10" s="48" t="s">
        <v>104</v>
      </c>
      <c r="C10" s="49">
        <f>AVERAGE('Auto Loan Origination Data'!H1:H24)</f>
        <v>109.6090121</v>
      </c>
      <c r="D10" s="49">
        <f>AVERAGE('Auto Loan Origination Data'!H25:H44)</f>
        <v>91.194255800000008</v>
      </c>
      <c r="E10" s="49">
        <f>AVERAGE('Auto Loan Origination Data'!H45:H64)</f>
        <v>137.88143200000002</v>
      </c>
      <c r="F10" s="49">
        <f>AVERAGE('Auto Loan Origination Data'!H65:H92)</f>
        <v>172.01040785714284</v>
      </c>
    </row>
    <row r="13" spans="2:7">
      <c r="B13" s="22"/>
      <c r="C13" s="32"/>
      <c r="D13" s="32"/>
    </row>
    <row r="14" spans="2:7">
      <c r="B14" s="33"/>
      <c r="C14" s="32"/>
      <c r="D14" s="32"/>
    </row>
    <row r="15" spans="2:7">
      <c r="B15" s="22"/>
      <c r="C15" s="32"/>
      <c r="D15" s="32"/>
    </row>
    <row r="16" spans="2:7">
      <c r="B16" s="22"/>
      <c r="C16" s="32"/>
      <c r="D16" s="32"/>
    </row>
    <row r="17" spans="2:4">
      <c r="B17" s="22"/>
      <c r="C17" s="32"/>
      <c r="D17" s="32"/>
    </row>
    <row r="18" spans="2:4">
      <c r="B18" s="22"/>
      <c r="C18" s="32"/>
      <c r="D18" s="3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4F38F-680B-427F-A272-DC941224E4BC}">
  <dimension ref="A1:C7"/>
  <sheetViews>
    <sheetView workbookViewId="0">
      <selection activeCell="A17" sqref="A17"/>
    </sheetView>
  </sheetViews>
  <sheetFormatPr defaultRowHeight="15"/>
  <cols>
    <col min="1" max="1" width="34" customWidth="1"/>
    <col min="2" max="2" width="33.85546875" customWidth="1"/>
    <col min="3" max="3" width="54.42578125" customWidth="1"/>
  </cols>
  <sheetData>
    <row r="1" spans="1:3">
      <c r="A1" s="44" t="s">
        <v>118</v>
      </c>
      <c r="B1" s="45" t="s">
        <v>119</v>
      </c>
      <c r="C1" s="45" t="s">
        <v>120</v>
      </c>
    </row>
    <row r="2" spans="1:3">
      <c r="A2" s="38" t="s">
        <v>99</v>
      </c>
      <c r="B2" s="39">
        <v>44.46</v>
      </c>
      <c r="C2" s="39">
        <f>AVERAGE('Delinquent Data 90'!D9:D28)</f>
        <v>2.6119999999999992</v>
      </c>
    </row>
    <row r="3" spans="1:3">
      <c r="A3" s="42" t="s">
        <v>100</v>
      </c>
      <c r="B3" s="43">
        <v>30</v>
      </c>
      <c r="C3" s="43">
        <f>AVERAGE('Delinquent Data 90'!D29:D48)</f>
        <v>4.4790000000000001</v>
      </c>
    </row>
    <row r="4" spans="1:3">
      <c r="A4" s="40" t="s">
        <v>101</v>
      </c>
      <c r="B4" s="39">
        <v>46.64</v>
      </c>
      <c r="C4" s="39">
        <f>AVERAGE('Delinquent Data 90'!D49:D68)</f>
        <v>3.6934999999999993</v>
      </c>
    </row>
    <row r="5" spans="1:3">
      <c r="A5" s="42" t="s">
        <v>102</v>
      </c>
      <c r="B5" s="43">
        <v>47.85</v>
      </c>
      <c r="C5" s="43">
        <f>AVERAGE('Delinquent Data 90'!D69:D96)</f>
        <v>4.4839811230462434</v>
      </c>
    </row>
    <row r="6" spans="1:3">
      <c r="A6" s="40"/>
      <c r="B6" s="39"/>
      <c r="C6" s="39"/>
    </row>
    <row r="7" spans="1:3">
      <c r="A7" s="40"/>
      <c r="B7" s="39"/>
      <c r="C7" s="4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948C8-011A-4D0F-A3DA-AA41E2D18F94}">
  <dimension ref="B3:C4"/>
  <sheetViews>
    <sheetView workbookViewId="0">
      <selection activeCell="C4" sqref="C4"/>
    </sheetView>
  </sheetViews>
  <sheetFormatPr defaultRowHeight="15"/>
  <cols>
    <col min="2" max="2" width="37.42578125" customWidth="1"/>
    <col min="3" max="3" width="18.140625" customWidth="1"/>
  </cols>
  <sheetData>
    <row r="3" spans="2:3">
      <c r="B3" s="35" t="s">
        <v>121</v>
      </c>
      <c r="C3" s="36">
        <f>('Delinquent Data 90'!D97-'Subprime Comparison'!C2)/'Subprime Comparison'!C2</f>
        <v>1.1439509954058198</v>
      </c>
    </row>
    <row r="4" spans="2:3">
      <c r="B4" s="34"/>
      <c r="C4" s="3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38A68-6B45-4F31-B495-6BDCDC9E49A0}">
  <dimension ref="B4:C4"/>
  <sheetViews>
    <sheetView workbookViewId="0">
      <selection activeCell="H9" sqref="H9"/>
    </sheetView>
  </sheetViews>
  <sheetFormatPr defaultRowHeight="15"/>
  <cols>
    <col min="3" max="3" width="40.42578125" customWidth="1"/>
  </cols>
  <sheetData>
    <row r="4" spans="2:3">
      <c r="B4" s="34" t="s">
        <v>122</v>
      </c>
      <c r="C4" s="34">
        <f>SUM('Auto Loan Origination Data'!B89:B92)+SUM('Auto Loan Origination Data'!C89:C92)</f>
        <v>182.13038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7A0A3-8844-4AE2-9ACB-5B8B4B439986}">
  <dimension ref="A1:K100"/>
  <sheetViews>
    <sheetView zoomScaleNormal="100" workbookViewId="0">
      <pane xSplit="1" ySplit="4" topLeftCell="B10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76" style="23" customWidth="1"/>
    <col min="2" max="10" width="11" style="23" customWidth="1"/>
  </cols>
  <sheetData>
    <row r="1" spans="1:10" ht="20.25">
      <c r="A1" s="31" t="s">
        <v>117</v>
      </c>
    </row>
    <row r="2" spans="1:10">
      <c r="A2" t="s">
        <v>116</v>
      </c>
    </row>
    <row r="3" spans="1:10">
      <c r="A3" s="30" t="s">
        <v>3</v>
      </c>
      <c r="J3" s="1" t="s">
        <v>1</v>
      </c>
    </row>
    <row r="4" spans="1:10">
      <c r="B4" s="23" t="s">
        <v>115</v>
      </c>
      <c r="C4" s="23" t="s">
        <v>114</v>
      </c>
      <c r="D4" s="23" t="s">
        <v>113</v>
      </c>
      <c r="E4" s="23" t="s">
        <v>112</v>
      </c>
      <c r="F4" s="23" t="s">
        <v>111</v>
      </c>
      <c r="G4" s="23" t="s">
        <v>110</v>
      </c>
      <c r="H4" s="23" t="s">
        <v>109</v>
      </c>
      <c r="I4" s="29"/>
      <c r="J4" s="29"/>
    </row>
    <row r="5" spans="1:10">
      <c r="A5" s="28" t="s">
        <v>108</v>
      </c>
      <c r="B5" s="25">
        <v>1.21</v>
      </c>
      <c r="C5" s="25">
        <v>0.35</v>
      </c>
      <c r="D5" s="25">
        <v>2.33</v>
      </c>
      <c r="E5" s="25">
        <v>8.84</v>
      </c>
      <c r="F5" s="25">
        <v>6.1291233901121727</v>
      </c>
      <c r="G5" s="25">
        <v>7.23</v>
      </c>
      <c r="H5" s="25">
        <v>2.5668427530319584</v>
      </c>
      <c r="I5" s="26"/>
      <c r="J5" s="26"/>
    </row>
    <row r="6" spans="1:10">
      <c r="A6" s="28" t="s">
        <v>107</v>
      </c>
      <c r="B6" s="25">
        <v>1.1399999999999999</v>
      </c>
      <c r="C6" s="25">
        <v>0.28000000000000003</v>
      </c>
      <c r="D6" s="25">
        <v>2.2599999999999998</v>
      </c>
      <c r="E6" s="25">
        <v>8.9</v>
      </c>
      <c r="F6" s="25">
        <v>6.1372169617126389</v>
      </c>
      <c r="G6" s="25">
        <v>7.13</v>
      </c>
      <c r="H6" s="25">
        <v>2.4920082883029293</v>
      </c>
      <c r="I6" s="26"/>
      <c r="J6" s="26"/>
    </row>
    <row r="7" spans="1:10">
      <c r="A7" s="28" t="s">
        <v>106</v>
      </c>
      <c r="B7" s="25">
        <v>1.1000000000000001</v>
      </c>
      <c r="C7" s="25">
        <v>0.22</v>
      </c>
      <c r="D7" s="25">
        <v>2.16</v>
      </c>
      <c r="E7" s="25">
        <v>8.67</v>
      </c>
      <c r="F7" s="25">
        <v>6.2696945337620571</v>
      </c>
      <c r="G7" s="25">
        <v>6.88</v>
      </c>
      <c r="H7" s="25">
        <v>2.3928670699262753</v>
      </c>
      <c r="I7" s="29"/>
      <c r="J7" s="29"/>
    </row>
    <row r="8" spans="1:10">
      <c r="A8" s="28" t="s">
        <v>105</v>
      </c>
      <c r="B8" s="25">
        <v>1.06</v>
      </c>
      <c r="C8" s="25">
        <v>0.31</v>
      </c>
      <c r="D8" s="25">
        <v>2.16</v>
      </c>
      <c r="E8" s="25">
        <v>9.24</v>
      </c>
      <c r="F8" s="25">
        <v>6.2315935152234081</v>
      </c>
      <c r="G8" s="25">
        <v>7.47</v>
      </c>
      <c r="H8" s="25">
        <v>2.3528113570144442</v>
      </c>
      <c r="I8" s="29"/>
      <c r="J8" s="29"/>
    </row>
    <row r="9" spans="1:10">
      <c r="A9" s="28" t="s">
        <v>10</v>
      </c>
      <c r="B9" s="25">
        <v>1.01</v>
      </c>
      <c r="C9" s="25">
        <v>0.21</v>
      </c>
      <c r="D9" s="25">
        <v>2.3199999999999998</v>
      </c>
      <c r="E9" s="25">
        <v>9.27</v>
      </c>
      <c r="F9" s="25">
        <v>6.3362971516551196</v>
      </c>
      <c r="G9" s="25">
        <v>7.68</v>
      </c>
      <c r="H9" s="25">
        <v>2.3111903297021463</v>
      </c>
      <c r="I9" s="29"/>
      <c r="J9" s="29"/>
    </row>
    <row r="10" spans="1:10">
      <c r="A10" s="28" t="s">
        <v>11</v>
      </c>
      <c r="B10" s="25">
        <v>1</v>
      </c>
      <c r="C10" s="25">
        <v>0.15</v>
      </c>
      <c r="D10" s="25">
        <v>2.17</v>
      </c>
      <c r="E10" s="25">
        <v>8.85</v>
      </c>
      <c r="F10" s="25">
        <v>6.3751996957017871</v>
      </c>
      <c r="G10" s="25">
        <v>7.74</v>
      </c>
      <c r="H10" s="25">
        <v>2.2189361702127659</v>
      </c>
    </row>
    <row r="11" spans="1:10">
      <c r="A11" s="28" t="s">
        <v>12</v>
      </c>
      <c r="B11" s="25">
        <v>1.08</v>
      </c>
      <c r="C11" s="25">
        <v>0.18</v>
      </c>
      <c r="D11" s="25">
        <v>2.27</v>
      </c>
      <c r="E11" s="25">
        <v>8.65</v>
      </c>
      <c r="F11" s="25">
        <v>6.496060606060607</v>
      </c>
      <c r="G11" s="25">
        <v>7.48</v>
      </c>
      <c r="H11" s="25">
        <v>2.2427951998188611</v>
      </c>
    </row>
    <row r="12" spans="1:10">
      <c r="A12" s="28" t="s">
        <v>13</v>
      </c>
      <c r="B12" s="25">
        <v>1.08</v>
      </c>
      <c r="C12" s="25">
        <v>0.21</v>
      </c>
      <c r="D12" s="25">
        <v>2.42</v>
      </c>
      <c r="E12" s="25">
        <v>9.18</v>
      </c>
      <c r="F12" s="25">
        <v>6.3213769164015039</v>
      </c>
      <c r="G12" s="25">
        <v>7.01</v>
      </c>
      <c r="H12" s="25">
        <v>2.2610334454078922</v>
      </c>
    </row>
    <row r="13" spans="1:10">
      <c r="A13" s="28" t="s">
        <v>14</v>
      </c>
      <c r="B13" s="25">
        <v>1.01</v>
      </c>
      <c r="C13" s="25">
        <v>0.25</v>
      </c>
      <c r="D13" s="25">
        <v>2.38</v>
      </c>
      <c r="E13" s="25">
        <v>9.59</v>
      </c>
      <c r="F13" s="25">
        <v>6.0324532453245325</v>
      </c>
      <c r="G13" s="25">
        <v>7.25</v>
      </c>
      <c r="H13" s="25">
        <v>2.2052418347507796</v>
      </c>
    </row>
    <row r="14" spans="1:10">
      <c r="A14" s="28" t="s">
        <v>15</v>
      </c>
      <c r="B14" s="25">
        <v>0.87</v>
      </c>
      <c r="C14" s="25">
        <v>0.24</v>
      </c>
      <c r="D14" s="25">
        <v>1.99</v>
      </c>
      <c r="E14" s="25">
        <v>9.23</v>
      </c>
      <c r="F14" s="25">
        <v>6.7118055555555554</v>
      </c>
      <c r="G14" s="25">
        <v>6.17</v>
      </c>
      <c r="H14" s="25">
        <v>2.0175730630649613</v>
      </c>
    </row>
    <row r="15" spans="1:10">
      <c r="A15" s="28" t="s">
        <v>16</v>
      </c>
      <c r="B15" s="25">
        <v>0.91</v>
      </c>
      <c r="C15" s="25">
        <v>0.2</v>
      </c>
      <c r="D15" s="25">
        <v>2.0299999999999998</v>
      </c>
      <c r="E15" s="25">
        <v>9.07</v>
      </c>
      <c r="F15" s="25">
        <v>6.9933809902038648</v>
      </c>
      <c r="G15" s="25">
        <v>5.96</v>
      </c>
      <c r="H15" s="25">
        <v>2.0206901481806763</v>
      </c>
      <c r="I15" s="29"/>
      <c r="J15" s="29"/>
    </row>
    <row r="16" spans="1:10">
      <c r="A16" s="28" t="s">
        <v>17</v>
      </c>
      <c r="B16" s="25">
        <v>0.93</v>
      </c>
      <c r="C16" s="25">
        <v>0.16</v>
      </c>
      <c r="D16" s="25">
        <v>2.09</v>
      </c>
      <c r="E16" s="25">
        <v>8.5299999999999994</v>
      </c>
      <c r="F16" s="25">
        <v>6.5892264488128669</v>
      </c>
      <c r="G16" s="25">
        <v>5.94</v>
      </c>
      <c r="H16" s="25">
        <v>1.9710133770570473</v>
      </c>
      <c r="I16" s="29"/>
      <c r="J16" s="29"/>
    </row>
    <row r="17" spans="1:10">
      <c r="A17" s="28" t="s">
        <v>18</v>
      </c>
      <c r="B17" s="25">
        <v>0.92</v>
      </c>
      <c r="C17" s="25">
        <v>0.17</v>
      </c>
      <c r="D17" s="25">
        <v>2.15</v>
      </c>
      <c r="E17" s="25">
        <v>8.82</v>
      </c>
      <c r="F17" s="25">
        <v>6.3926352128883774</v>
      </c>
      <c r="G17" s="25">
        <v>5.85</v>
      </c>
      <c r="H17" s="25">
        <v>1.9499123466065613</v>
      </c>
      <c r="I17" s="29"/>
      <c r="J17" s="29"/>
    </row>
    <row r="18" spans="1:10">
      <c r="A18" s="28" t="s">
        <v>19</v>
      </c>
      <c r="B18" s="25">
        <v>0.86</v>
      </c>
      <c r="C18" s="25">
        <v>0.39</v>
      </c>
      <c r="D18" s="25">
        <v>2.2200000000000002</v>
      </c>
      <c r="E18" s="25">
        <v>8.9600000000000009</v>
      </c>
      <c r="F18" s="25">
        <v>6.6559580770107081</v>
      </c>
      <c r="G18" s="25">
        <v>5.55</v>
      </c>
      <c r="H18" s="25">
        <v>1.9130928343460096</v>
      </c>
      <c r="I18" s="29"/>
      <c r="J18" s="29"/>
    </row>
    <row r="19" spans="1:10">
      <c r="A19" s="28" t="s">
        <v>20</v>
      </c>
      <c r="B19" s="25">
        <v>1.07</v>
      </c>
      <c r="C19" s="25">
        <v>0.5</v>
      </c>
      <c r="D19" s="25">
        <v>2.58</v>
      </c>
      <c r="E19" s="25">
        <v>9.19</v>
      </c>
      <c r="F19" s="25">
        <v>7.1584956346541304</v>
      </c>
      <c r="G19" s="25">
        <v>5.1100000000000003</v>
      </c>
      <c r="H19" s="25">
        <v>2.1085461777993775</v>
      </c>
      <c r="I19" s="29"/>
      <c r="J19" s="29"/>
    </row>
    <row r="20" spans="1:10">
      <c r="A20" s="28" t="s">
        <v>21</v>
      </c>
      <c r="B20" s="25">
        <v>1.31</v>
      </c>
      <c r="C20" s="25">
        <v>0.61</v>
      </c>
      <c r="D20" s="25">
        <v>2.62</v>
      </c>
      <c r="E20" s="25">
        <v>9.66</v>
      </c>
      <c r="F20" s="25">
        <v>7.1411960132890364</v>
      </c>
      <c r="G20" s="25">
        <v>5.46</v>
      </c>
      <c r="H20" s="25">
        <v>2.3297004410737805</v>
      </c>
      <c r="I20" s="29"/>
      <c r="J20" s="29"/>
    </row>
    <row r="21" spans="1:10">
      <c r="A21" s="28" t="s">
        <v>22</v>
      </c>
      <c r="B21" s="25">
        <v>1.56</v>
      </c>
      <c r="C21" s="25">
        <v>0.65</v>
      </c>
      <c r="D21" s="25">
        <v>2.59</v>
      </c>
      <c r="E21" s="25">
        <v>9.74</v>
      </c>
      <c r="F21" s="25">
        <v>6.8493285939968409</v>
      </c>
      <c r="G21" s="25">
        <v>5.74</v>
      </c>
      <c r="H21" s="25">
        <v>2.5040842779222814</v>
      </c>
      <c r="I21" s="29"/>
      <c r="J21" s="29"/>
    </row>
    <row r="22" spans="1:10">
      <c r="A22" s="28" t="s">
        <v>23</v>
      </c>
      <c r="B22" s="25">
        <v>1.76</v>
      </c>
      <c r="C22" s="25">
        <v>0.77</v>
      </c>
      <c r="D22" s="25">
        <v>2.54</v>
      </c>
      <c r="E22" s="25">
        <v>9.3800000000000008</v>
      </c>
      <c r="F22" s="25">
        <v>7.2929961089494162</v>
      </c>
      <c r="G22" s="25">
        <v>5.91</v>
      </c>
      <c r="H22" s="25">
        <v>2.6553950277641816</v>
      </c>
    </row>
    <row r="23" spans="1:10">
      <c r="A23" s="28" t="s">
        <v>24</v>
      </c>
      <c r="B23" s="25">
        <v>2.23</v>
      </c>
      <c r="C23" s="25">
        <v>1.2</v>
      </c>
      <c r="D23" s="25">
        <v>2.76</v>
      </c>
      <c r="E23" s="25">
        <v>9.34</v>
      </c>
      <c r="F23" s="25">
        <v>7.5858031517100075</v>
      </c>
      <c r="G23" s="25">
        <v>6.14</v>
      </c>
      <c r="H23" s="25">
        <v>3.0556932847906606</v>
      </c>
    </row>
    <row r="24" spans="1:10">
      <c r="A24" s="28" t="s">
        <v>25</v>
      </c>
      <c r="B24" s="25">
        <v>2.93</v>
      </c>
      <c r="C24" s="25">
        <v>1.32</v>
      </c>
      <c r="D24" s="25">
        <v>3.05</v>
      </c>
      <c r="E24" s="25">
        <v>9.48</v>
      </c>
      <c r="F24" s="25">
        <v>7.5110502283105021</v>
      </c>
      <c r="G24" s="25">
        <v>6.2</v>
      </c>
      <c r="H24" s="25">
        <v>3.6169371786996023</v>
      </c>
    </row>
    <row r="25" spans="1:10">
      <c r="A25" s="28" t="s">
        <v>26</v>
      </c>
      <c r="B25" s="25">
        <v>3.94</v>
      </c>
      <c r="C25" s="25">
        <v>1.86</v>
      </c>
      <c r="D25" s="25">
        <v>3.22</v>
      </c>
      <c r="E25" s="25">
        <v>9.49</v>
      </c>
      <c r="F25" s="25">
        <v>7.3825966850828735</v>
      </c>
      <c r="G25" s="25">
        <v>6.83</v>
      </c>
      <c r="H25" s="25">
        <v>4.4086467514856622</v>
      </c>
    </row>
    <row r="26" spans="1:10">
      <c r="A26" s="28" t="s">
        <v>27</v>
      </c>
      <c r="B26" s="25">
        <v>4.16</v>
      </c>
      <c r="C26" s="25">
        <v>2.21</v>
      </c>
      <c r="D26" s="25">
        <v>3.26</v>
      </c>
      <c r="E26" s="25">
        <v>10.15</v>
      </c>
      <c r="F26" s="25">
        <v>7.5509125021320136</v>
      </c>
      <c r="G26" s="25">
        <v>6.85</v>
      </c>
      <c r="H26" s="25">
        <v>4.6412918383059107</v>
      </c>
    </row>
    <row r="27" spans="1:10">
      <c r="A27" s="28" t="s">
        <v>28</v>
      </c>
      <c r="B27" s="25">
        <v>4.7300000000000004</v>
      </c>
      <c r="C27" s="25">
        <v>2.66</v>
      </c>
      <c r="D27" s="25">
        <v>3.64</v>
      </c>
      <c r="E27" s="25">
        <v>9.48</v>
      </c>
      <c r="F27" s="25">
        <v>7.5498444917335084</v>
      </c>
      <c r="G27" s="25">
        <v>7.62</v>
      </c>
      <c r="H27" s="25">
        <v>5.1069946510563771</v>
      </c>
    </row>
    <row r="28" spans="1:10">
      <c r="A28" s="28" t="s">
        <v>29</v>
      </c>
      <c r="B28" s="25">
        <v>5.59</v>
      </c>
      <c r="C28" s="25">
        <v>3.33</v>
      </c>
      <c r="D28" s="25">
        <v>3.94</v>
      </c>
      <c r="E28" s="25">
        <v>10.18</v>
      </c>
      <c r="F28" s="25">
        <v>7.823087752229001</v>
      </c>
      <c r="G28" s="25">
        <v>8.58</v>
      </c>
      <c r="H28" s="25">
        <v>5.8900464881332919</v>
      </c>
    </row>
    <row r="29" spans="1:10">
      <c r="A29" s="28" t="s">
        <v>30</v>
      </c>
      <c r="B29" s="25">
        <v>6.97</v>
      </c>
      <c r="C29" s="25">
        <v>3.77</v>
      </c>
      <c r="D29" s="25">
        <v>4.3499999999999996</v>
      </c>
      <c r="E29" s="25">
        <v>11.44</v>
      </c>
      <c r="F29" s="25">
        <v>7.8770368135184068</v>
      </c>
      <c r="G29" s="25">
        <v>9.27</v>
      </c>
      <c r="H29" s="25">
        <v>7.0548860298812412</v>
      </c>
    </row>
    <row r="30" spans="1:10">
      <c r="A30" s="28" t="s">
        <v>31</v>
      </c>
      <c r="B30" s="25">
        <v>7.93</v>
      </c>
      <c r="C30" s="25">
        <v>3.97</v>
      </c>
      <c r="D30" s="25">
        <v>4.47</v>
      </c>
      <c r="E30" s="25">
        <v>11.74</v>
      </c>
      <c r="F30" s="25">
        <v>8.2623630441220026</v>
      </c>
      <c r="G30" s="25">
        <v>8.74</v>
      </c>
      <c r="H30" s="25">
        <v>7.7976819911019399</v>
      </c>
    </row>
    <row r="31" spans="1:10">
      <c r="A31" s="28" t="s">
        <v>32</v>
      </c>
      <c r="B31" s="25">
        <v>8.17</v>
      </c>
      <c r="C31" s="25">
        <v>4.18</v>
      </c>
      <c r="D31" s="25">
        <v>4.68</v>
      </c>
      <c r="E31" s="25">
        <v>11.9</v>
      </c>
      <c r="F31" s="25">
        <v>8.4524118070554355</v>
      </c>
      <c r="G31" s="25">
        <v>9.06</v>
      </c>
      <c r="H31" s="25">
        <v>8.0179330564378208</v>
      </c>
    </row>
    <row r="32" spans="1:10">
      <c r="A32" s="28" t="s">
        <v>33</v>
      </c>
      <c r="B32" s="25">
        <v>8.75</v>
      </c>
      <c r="C32" s="25">
        <v>4.37</v>
      </c>
      <c r="D32" s="25">
        <v>4.92</v>
      </c>
      <c r="E32" s="25">
        <v>12.7</v>
      </c>
      <c r="F32" s="25">
        <v>8.6571468182448363</v>
      </c>
      <c r="G32" s="25">
        <v>9.2200000000000006</v>
      </c>
      <c r="H32" s="25">
        <v>8.5350605370661103</v>
      </c>
    </row>
    <row r="33" spans="1:8">
      <c r="A33" s="28" t="s">
        <v>34</v>
      </c>
      <c r="B33" s="25">
        <v>8.89</v>
      </c>
      <c r="C33" s="25">
        <v>4.05</v>
      </c>
      <c r="D33" s="25">
        <v>5.01</v>
      </c>
      <c r="E33" s="25">
        <v>13.73</v>
      </c>
      <c r="F33" s="25">
        <v>8.659012932172077</v>
      </c>
      <c r="G33" s="25">
        <v>9.94</v>
      </c>
      <c r="H33" s="25">
        <v>8.7100496001452523</v>
      </c>
    </row>
    <row r="34" spans="1:8">
      <c r="A34" s="28" t="s">
        <v>35</v>
      </c>
      <c r="B34" s="25">
        <v>8.36</v>
      </c>
      <c r="C34" s="25">
        <v>4.29</v>
      </c>
      <c r="D34" s="25">
        <v>4.84</v>
      </c>
      <c r="E34" s="25">
        <v>13.74</v>
      </c>
      <c r="F34" s="25">
        <v>8.9527372981488771</v>
      </c>
      <c r="G34" s="25">
        <v>10.28</v>
      </c>
      <c r="H34" s="25">
        <v>8.3503558569873562</v>
      </c>
    </row>
    <row r="35" spans="1:8">
      <c r="A35" s="28" t="s">
        <v>36</v>
      </c>
      <c r="B35" s="25">
        <v>7.82</v>
      </c>
      <c r="C35" s="25">
        <v>4.2300000000000004</v>
      </c>
      <c r="D35" s="25">
        <v>4.83</v>
      </c>
      <c r="E35" s="25">
        <v>13.16</v>
      </c>
      <c r="F35" s="25">
        <v>9.1694937034181443</v>
      </c>
      <c r="G35" s="25">
        <v>11.3</v>
      </c>
      <c r="H35" s="25">
        <v>7.952340346492857</v>
      </c>
    </row>
    <row r="36" spans="1:8">
      <c r="A36" s="28" t="s">
        <v>37</v>
      </c>
      <c r="B36" s="25">
        <v>7.61</v>
      </c>
      <c r="C36" s="25">
        <v>4.29</v>
      </c>
      <c r="D36" s="25">
        <v>5.27</v>
      </c>
      <c r="E36" s="25">
        <v>13.27</v>
      </c>
      <c r="F36" s="25">
        <v>9.1166543483616653</v>
      </c>
      <c r="G36" s="25">
        <v>10.83</v>
      </c>
      <c r="H36" s="25">
        <v>7.8332906464501582</v>
      </c>
    </row>
    <row r="37" spans="1:8">
      <c r="A37" s="28" t="s">
        <v>38</v>
      </c>
      <c r="B37" s="25">
        <v>7.46</v>
      </c>
      <c r="C37" s="25">
        <v>4.66</v>
      </c>
      <c r="D37" s="25">
        <v>5.09</v>
      </c>
      <c r="E37" s="25">
        <v>13.12</v>
      </c>
      <c r="F37" s="25">
        <v>8.9598427073403233</v>
      </c>
      <c r="G37" s="25">
        <v>10.64</v>
      </c>
      <c r="H37" s="25">
        <v>7.6927023072211265</v>
      </c>
    </row>
    <row r="38" spans="1:8">
      <c r="A38" s="28" t="s">
        <v>39</v>
      </c>
      <c r="B38" s="25">
        <v>6.91</v>
      </c>
      <c r="C38" s="25">
        <v>4.66</v>
      </c>
      <c r="D38" s="25">
        <v>4.99</v>
      </c>
      <c r="E38" s="25">
        <v>12.16</v>
      </c>
      <c r="F38" s="25">
        <v>9.0864458538877138</v>
      </c>
      <c r="G38" s="25">
        <v>10.4</v>
      </c>
      <c r="H38" s="25">
        <v>7.2380067351549515</v>
      </c>
    </row>
    <row r="39" spans="1:8">
      <c r="A39" s="28" t="s">
        <v>40</v>
      </c>
      <c r="B39" s="25">
        <v>6.83</v>
      </c>
      <c r="C39" s="25">
        <v>4.7</v>
      </c>
      <c r="D39" s="25">
        <v>5.03</v>
      </c>
      <c r="E39" s="25">
        <v>11.5</v>
      </c>
      <c r="F39" s="25">
        <v>8.8393472764881622</v>
      </c>
      <c r="G39" s="25">
        <v>10.69</v>
      </c>
      <c r="H39" s="25">
        <v>7.1376873735121595</v>
      </c>
    </row>
    <row r="40" spans="1:8">
      <c r="A40" s="28" t="s">
        <v>41</v>
      </c>
      <c r="B40" s="25">
        <v>6.89</v>
      </c>
      <c r="C40" s="25">
        <v>4.71</v>
      </c>
      <c r="D40" s="25">
        <v>4.82</v>
      </c>
      <c r="E40" s="25">
        <v>11.48</v>
      </c>
      <c r="F40" s="25">
        <v>8.4498626373626369</v>
      </c>
      <c r="G40" s="25">
        <v>10.51</v>
      </c>
      <c r="H40" s="25">
        <v>7.144771513764649</v>
      </c>
    </row>
    <row r="41" spans="1:8">
      <c r="A41" s="28" t="s">
        <v>42</v>
      </c>
      <c r="B41" s="25">
        <v>6.67</v>
      </c>
      <c r="C41" s="25">
        <v>4.6900000000000004</v>
      </c>
      <c r="D41" s="25">
        <v>4.55</v>
      </c>
      <c r="E41" s="25">
        <v>11.27</v>
      </c>
      <c r="F41" s="25">
        <v>8.6921338097933347</v>
      </c>
      <c r="G41" s="25">
        <v>10.24</v>
      </c>
      <c r="H41" s="25">
        <v>6.9591568337845553</v>
      </c>
    </row>
    <row r="42" spans="1:8">
      <c r="A42" s="28" t="s">
        <v>43</v>
      </c>
      <c r="B42" s="25">
        <v>6.33</v>
      </c>
      <c r="C42" s="25">
        <v>4.92</v>
      </c>
      <c r="D42" s="25">
        <v>4.24</v>
      </c>
      <c r="E42" s="25">
        <v>10.9</v>
      </c>
      <c r="F42" s="25">
        <v>8.92</v>
      </c>
      <c r="G42" s="25">
        <v>10.24</v>
      </c>
      <c r="H42" s="25">
        <v>6.71</v>
      </c>
    </row>
    <row r="43" spans="1:8">
      <c r="A43" s="28" t="s">
        <v>44</v>
      </c>
      <c r="B43" s="25">
        <v>5.9</v>
      </c>
      <c r="C43" s="25">
        <v>4.93</v>
      </c>
      <c r="D43" s="25">
        <v>4.25</v>
      </c>
      <c r="E43" s="25">
        <v>10.45</v>
      </c>
      <c r="F43" s="25">
        <v>11</v>
      </c>
      <c r="G43" s="25">
        <v>9.83</v>
      </c>
      <c r="H43" s="25">
        <v>6.55</v>
      </c>
    </row>
    <row r="44" spans="1:8">
      <c r="A44" s="28" t="s">
        <v>45</v>
      </c>
      <c r="B44" s="25">
        <v>5.58</v>
      </c>
      <c r="C44" s="25">
        <v>3.48</v>
      </c>
      <c r="D44" s="25">
        <v>4.03</v>
      </c>
      <c r="E44" s="25">
        <v>10.57</v>
      </c>
      <c r="F44" s="25">
        <v>11.73</v>
      </c>
      <c r="G44" s="25">
        <v>9.6199999999999992</v>
      </c>
      <c r="H44" s="25">
        <v>6.31</v>
      </c>
    </row>
    <row r="45" spans="1:8">
      <c r="A45" s="28" t="s">
        <v>46</v>
      </c>
      <c r="B45" s="25">
        <v>5.35</v>
      </c>
      <c r="C45" s="25">
        <v>3.22</v>
      </c>
      <c r="D45" s="25">
        <v>3.92</v>
      </c>
      <c r="E45" s="25">
        <v>10.210000000000001</v>
      </c>
      <c r="F45" s="25">
        <v>11.19</v>
      </c>
      <c r="G45" s="25">
        <v>9.83</v>
      </c>
      <c r="H45" s="25">
        <v>6.07</v>
      </c>
    </row>
    <row r="46" spans="1:8">
      <c r="A46" s="28" t="s">
        <v>47</v>
      </c>
      <c r="B46" s="25">
        <v>4.9400000000000004</v>
      </c>
      <c r="C46" s="25">
        <v>3</v>
      </c>
      <c r="D46" s="25">
        <v>3.57</v>
      </c>
      <c r="E46" s="25">
        <v>9.99</v>
      </c>
      <c r="F46" s="25">
        <v>10.9</v>
      </c>
      <c r="G46" s="25">
        <v>9.5399999999999991</v>
      </c>
      <c r="H46" s="25">
        <v>5.7</v>
      </c>
    </row>
    <row r="47" spans="1:8">
      <c r="A47" s="28" t="s">
        <v>48</v>
      </c>
      <c r="B47" s="25">
        <v>4.3099999999999996</v>
      </c>
      <c r="C47" s="25">
        <v>3.51</v>
      </c>
      <c r="D47" s="25">
        <v>3.37</v>
      </c>
      <c r="E47" s="25">
        <v>9.36</v>
      </c>
      <c r="F47" s="25">
        <v>11.83</v>
      </c>
      <c r="G47" s="25">
        <v>8.9700000000000006</v>
      </c>
      <c r="H47" s="25">
        <v>5.31</v>
      </c>
    </row>
    <row r="48" spans="1:8">
      <c r="A48" s="28" t="s">
        <v>49</v>
      </c>
      <c r="B48" s="25">
        <v>3.93</v>
      </c>
      <c r="C48" s="25">
        <v>3.19</v>
      </c>
      <c r="D48" s="25">
        <v>3.35</v>
      </c>
      <c r="E48" s="25">
        <v>9.4499999999999993</v>
      </c>
      <c r="F48" s="25">
        <v>11.51</v>
      </c>
      <c r="G48" s="25">
        <v>8.94</v>
      </c>
      <c r="H48" s="25">
        <v>5.03</v>
      </c>
    </row>
    <row r="49" spans="1:8">
      <c r="A49" s="28" t="s">
        <v>50</v>
      </c>
      <c r="B49" s="25">
        <v>3.72</v>
      </c>
      <c r="C49" s="25">
        <v>3.37</v>
      </c>
      <c r="D49" s="25">
        <v>3.32</v>
      </c>
      <c r="E49" s="25">
        <v>8.51</v>
      </c>
      <c r="F49" s="25">
        <v>11.01</v>
      </c>
      <c r="G49" s="25">
        <v>8.66</v>
      </c>
      <c r="H49" s="25">
        <v>4.7699999999999996</v>
      </c>
    </row>
    <row r="50" spans="1:8">
      <c r="A50" s="28" t="s">
        <v>51</v>
      </c>
      <c r="B50" s="25">
        <v>3.39</v>
      </c>
      <c r="C50" s="25">
        <v>3.33</v>
      </c>
      <c r="D50" s="25">
        <v>3.27</v>
      </c>
      <c r="E50" s="25">
        <v>7.83</v>
      </c>
      <c r="F50" s="25">
        <v>10.92</v>
      </c>
      <c r="G50" s="25">
        <v>8.17</v>
      </c>
      <c r="H50" s="25">
        <v>4.49</v>
      </c>
    </row>
    <row r="51" spans="1:8">
      <c r="A51" s="28" t="s">
        <v>52</v>
      </c>
      <c r="B51" s="25">
        <v>3.18</v>
      </c>
      <c r="C51" s="25">
        <v>3.34</v>
      </c>
      <c r="D51" s="25">
        <v>3.14</v>
      </c>
      <c r="E51" s="25">
        <v>7.46</v>
      </c>
      <c r="F51" s="25">
        <v>11.09</v>
      </c>
      <c r="G51" s="25">
        <v>8</v>
      </c>
      <c r="H51" s="25">
        <v>4.33</v>
      </c>
    </row>
    <row r="52" spans="1:8">
      <c r="A52" s="28" t="s">
        <v>53</v>
      </c>
      <c r="B52" s="25">
        <v>3.07</v>
      </c>
      <c r="C52" s="25">
        <v>3.16</v>
      </c>
      <c r="D52" s="25">
        <v>3.47</v>
      </c>
      <c r="E52" s="25">
        <v>7.31</v>
      </c>
      <c r="F52" s="25">
        <v>11.32</v>
      </c>
      <c r="G52" s="25">
        <v>7.9</v>
      </c>
      <c r="H52" s="25">
        <v>4.3</v>
      </c>
    </row>
    <row r="53" spans="1:8">
      <c r="A53" s="28" t="s">
        <v>54</v>
      </c>
      <c r="B53" s="25">
        <v>2.95</v>
      </c>
      <c r="C53" s="25">
        <v>3.04</v>
      </c>
      <c r="D53" s="25">
        <v>3.34</v>
      </c>
      <c r="E53" s="25">
        <v>8.3800000000000008</v>
      </c>
      <c r="F53" s="25">
        <v>11.06</v>
      </c>
      <c r="G53" s="25">
        <v>7.95</v>
      </c>
      <c r="H53" s="25">
        <v>4.25</v>
      </c>
    </row>
    <row r="54" spans="1:8">
      <c r="A54" s="28" t="s">
        <v>55</v>
      </c>
      <c r="B54" s="25">
        <v>2.5099999999999998</v>
      </c>
      <c r="C54" s="25">
        <v>3.24</v>
      </c>
      <c r="D54" s="25">
        <v>3.36</v>
      </c>
      <c r="E54" s="25">
        <v>8.39</v>
      </c>
      <c r="F54" s="25">
        <v>11.45</v>
      </c>
      <c r="G54" s="25">
        <v>7.26</v>
      </c>
      <c r="H54" s="25">
        <v>3.98</v>
      </c>
    </row>
    <row r="55" spans="1:8">
      <c r="A55" s="28" t="s">
        <v>56</v>
      </c>
      <c r="B55" s="25">
        <v>2.3199999999999998</v>
      </c>
      <c r="C55" s="25">
        <v>2.44</v>
      </c>
      <c r="D55" s="25">
        <v>3.36</v>
      </c>
      <c r="E55" s="25">
        <v>8.2100000000000009</v>
      </c>
      <c r="F55" s="25">
        <v>11.56</v>
      </c>
      <c r="G55" s="25">
        <v>7</v>
      </c>
      <c r="H55" s="25">
        <v>3.79</v>
      </c>
    </row>
    <row r="56" spans="1:8">
      <c r="A56" s="28" t="s">
        <v>57</v>
      </c>
      <c r="B56" s="25">
        <v>2.1800000000000002</v>
      </c>
      <c r="C56" s="25">
        <v>2.2400000000000002</v>
      </c>
      <c r="D56" s="25">
        <v>3.37</v>
      </c>
      <c r="E56" s="25">
        <v>7.65</v>
      </c>
      <c r="F56" s="25">
        <v>11.52</v>
      </c>
      <c r="G56" s="25">
        <v>7.02</v>
      </c>
      <c r="H56" s="25">
        <v>3.69</v>
      </c>
    </row>
    <row r="57" spans="1:8">
      <c r="A57" s="28" t="s">
        <v>58</v>
      </c>
      <c r="B57" s="25">
        <v>2.08</v>
      </c>
      <c r="C57" s="25">
        <v>2.19</v>
      </c>
      <c r="D57" s="25">
        <v>3.52</v>
      </c>
      <c r="E57" s="25">
        <v>7.6</v>
      </c>
      <c r="F57" s="25">
        <v>11.04</v>
      </c>
      <c r="G57" s="25">
        <v>7.89</v>
      </c>
      <c r="H57" s="25">
        <v>3.6</v>
      </c>
    </row>
    <row r="58" spans="1:8">
      <c r="A58" s="28" t="s">
        <v>59</v>
      </c>
      <c r="B58" s="25">
        <v>1.76</v>
      </c>
      <c r="C58" s="25">
        <v>1.96</v>
      </c>
      <c r="D58" s="25">
        <v>3.46</v>
      </c>
      <c r="E58" s="25">
        <v>7.17</v>
      </c>
      <c r="F58" s="25">
        <v>11.06</v>
      </c>
      <c r="G58" s="25">
        <v>7.22</v>
      </c>
      <c r="H58" s="25">
        <v>3.34</v>
      </c>
    </row>
    <row r="59" spans="1:8">
      <c r="A59" s="28" t="s">
        <v>60</v>
      </c>
      <c r="B59" s="25">
        <v>1.63</v>
      </c>
      <c r="C59" s="25">
        <v>2.0299999999999998</v>
      </c>
      <c r="D59" s="25">
        <v>3.58</v>
      </c>
      <c r="E59" s="25">
        <v>7.08</v>
      </c>
      <c r="F59" s="25">
        <v>10.94</v>
      </c>
      <c r="G59" s="25">
        <v>7.13</v>
      </c>
      <c r="H59" s="25">
        <v>3.28</v>
      </c>
    </row>
    <row r="60" spans="1:8">
      <c r="A60" s="28" t="s">
        <v>61</v>
      </c>
      <c r="B60" s="25">
        <v>1.57</v>
      </c>
      <c r="C60" s="25">
        <v>2.13</v>
      </c>
      <c r="D60" s="25">
        <v>3.75</v>
      </c>
      <c r="E60" s="25">
        <v>7.14</v>
      </c>
      <c r="F60" s="25">
        <v>11.17</v>
      </c>
      <c r="G60" s="25">
        <v>7</v>
      </c>
      <c r="H60" s="25">
        <v>3.3</v>
      </c>
    </row>
    <row r="61" spans="1:8">
      <c r="A61" s="28" t="s">
        <v>62</v>
      </c>
      <c r="B61" s="25">
        <v>1.67</v>
      </c>
      <c r="C61" s="25">
        <v>2.06</v>
      </c>
      <c r="D61" s="25">
        <v>3.82</v>
      </c>
      <c r="E61" s="25">
        <v>7.45</v>
      </c>
      <c r="F61" s="25">
        <v>10.98</v>
      </c>
      <c r="G61" s="25">
        <v>7.22</v>
      </c>
      <c r="H61" s="25">
        <v>3.37</v>
      </c>
    </row>
    <row r="62" spans="1:8">
      <c r="A62" s="28" t="s">
        <v>63</v>
      </c>
      <c r="B62" s="25">
        <v>1.47</v>
      </c>
      <c r="C62" s="25">
        <v>1.88</v>
      </c>
      <c r="D62" s="25">
        <v>3.92</v>
      </c>
      <c r="E62" s="25">
        <v>7.38</v>
      </c>
      <c r="F62" s="25">
        <v>11.22</v>
      </c>
      <c r="G62" s="25">
        <v>6.91</v>
      </c>
      <c r="H62" s="25">
        <v>3.26</v>
      </c>
    </row>
    <row r="63" spans="1:8">
      <c r="A63" s="28" t="s">
        <v>64</v>
      </c>
      <c r="B63" s="25">
        <v>1.38</v>
      </c>
      <c r="C63" s="25">
        <v>1.53</v>
      </c>
      <c r="D63" s="25">
        <v>3.97</v>
      </c>
      <c r="E63" s="25">
        <v>7.47</v>
      </c>
      <c r="F63" s="25">
        <v>11.17</v>
      </c>
      <c r="G63" s="25">
        <v>6.66</v>
      </c>
      <c r="H63" s="25">
        <v>3.19</v>
      </c>
    </row>
    <row r="64" spans="1:8">
      <c r="A64" s="28" t="s">
        <v>65</v>
      </c>
      <c r="B64" s="25">
        <v>1.27</v>
      </c>
      <c r="C64" s="25">
        <v>1.67</v>
      </c>
      <c r="D64" s="25">
        <v>4.05</v>
      </c>
      <c r="E64" s="25">
        <v>7.55</v>
      </c>
      <c r="F64" s="25">
        <v>10.96</v>
      </c>
      <c r="G64" s="25">
        <v>6.78</v>
      </c>
      <c r="H64" s="25">
        <v>3.12</v>
      </c>
    </row>
    <row r="65" spans="1:10">
      <c r="A65" s="28" t="s">
        <v>66</v>
      </c>
      <c r="B65" s="25">
        <v>1.22</v>
      </c>
      <c r="C65" s="25">
        <v>1.51</v>
      </c>
      <c r="D65" s="25">
        <v>4.26</v>
      </c>
      <c r="E65" s="25">
        <v>8.01</v>
      </c>
      <c r="F65" s="25">
        <v>10.66</v>
      </c>
      <c r="G65" s="25">
        <v>7.12</v>
      </c>
      <c r="H65" s="25">
        <v>3.11</v>
      </c>
    </row>
    <row r="66" spans="1:10">
      <c r="A66" s="28" t="s">
        <v>67</v>
      </c>
      <c r="B66" s="25">
        <v>1.1100000000000001</v>
      </c>
      <c r="C66" s="25">
        <v>1.56</v>
      </c>
      <c r="D66" s="25">
        <v>4.17</v>
      </c>
      <c r="E66" s="25">
        <v>7.88</v>
      </c>
      <c r="F66" s="25">
        <v>10.94</v>
      </c>
      <c r="G66" s="25">
        <v>7.05</v>
      </c>
      <c r="H66" s="25">
        <v>3.04</v>
      </c>
    </row>
    <row r="67" spans="1:10">
      <c r="A67" s="28" t="s">
        <v>68</v>
      </c>
      <c r="B67" s="25">
        <v>1.06</v>
      </c>
      <c r="C67" s="25">
        <v>1.2</v>
      </c>
      <c r="D67" s="25">
        <v>4.2699999999999996</v>
      </c>
      <c r="E67" s="25">
        <v>7.94</v>
      </c>
      <c r="F67" s="25">
        <v>11.53</v>
      </c>
      <c r="G67" s="25">
        <v>7.15</v>
      </c>
      <c r="H67" s="25">
        <v>3.09</v>
      </c>
    </row>
    <row r="68" spans="1:10">
      <c r="A68" s="28" t="s">
        <v>69</v>
      </c>
      <c r="B68" s="25">
        <v>1.06</v>
      </c>
      <c r="C68" s="25">
        <v>1.1599999999999999</v>
      </c>
      <c r="D68" s="25">
        <v>4.47</v>
      </c>
      <c r="E68" s="25">
        <v>7.77</v>
      </c>
      <c r="F68" s="25">
        <v>11.42</v>
      </c>
      <c r="G68" s="25">
        <v>6.96</v>
      </c>
      <c r="H68" s="25">
        <v>3.1</v>
      </c>
    </row>
    <row r="69" spans="1:10">
      <c r="A69" s="28" t="s">
        <v>70</v>
      </c>
      <c r="B69" s="25">
        <v>1</v>
      </c>
      <c r="C69" s="25">
        <v>1.25</v>
      </c>
      <c r="D69" s="25">
        <v>4.6900000000000004</v>
      </c>
      <c r="E69" s="25">
        <v>8.32</v>
      </c>
      <c r="F69" s="25">
        <v>10.85</v>
      </c>
      <c r="G69" s="25">
        <v>7.19</v>
      </c>
      <c r="H69" s="25">
        <v>3.06</v>
      </c>
    </row>
    <row r="70" spans="1:10">
      <c r="A70" s="28" t="s">
        <v>71</v>
      </c>
      <c r="B70" s="25">
        <v>0.87</v>
      </c>
      <c r="C70" s="25">
        <v>1.1000000000000001</v>
      </c>
      <c r="D70" s="25">
        <v>4.6399999999999997</v>
      </c>
      <c r="E70" s="25">
        <v>8.32</v>
      </c>
      <c r="F70" s="25">
        <v>10.83</v>
      </c>
      <c r="G70" s="25">
        <v>7.16</v>
      </c>
      <c r="H70" s="25">
        <v>2.94</v>
      </c>
    </row>
    <row r="71" spans="1:10">
      <c r="A71" s="28" t="s">
        <v>72</v>
      </c>
      <c r="B71" s="25">
        <v>0.97</v>
      </c>
      <c r="C71" s="25">
        <v>1.1299999999999999</v>
      </c>
      <c r="D71" s="25">
        <v>4.71</v>
      </c>
      <c r="E71" s="25">
        <v>8.27</v>
      </c>
      <c r="F71" s="25">
        <v>10.9</v>
      </c>
      <c r="G71" s="25">
        <v>7.07</v>
      </c>
      <c r="H71" s="25">
        <v>3.04</v>
      </c>
    </row>
    <row r="72" spans="1:10">
      <c r="A72" s="28" t="s">
        <v>73</v>
      </c>
      <c r="B72" s="25">
        <v>1.07</v>
      </c>
      <c r="C72" s="25">
        <v>0.84</v>
      </c>
      <c r="D72" s="25">
        <v>4.9400000000000004</v>
      </c>
      <c r="E72" s="25">
        <v>8.36</v>
      </c>
      <c r="F72" s="25">
        <v>11.06</v>
      </c>
      <c r="G72" s="25">
        <v>6.98</v>
      </c>
      <c r="H72" s="25">
        <v>3.15</v>
      </c>
    </row>
    <row r="73" spans="1:10">
      <c r="A73" s="28" t="s">
        <v>74</v>
      </c>
      <c r="B73" s="25">
        <v>1.06</v>
      </c>
      <c r="C73" s="25">
        <v>1.19</v>
      </c>
      <c r="D73" s="25">
        <v>5.05</v>
      </c>
      <c r="E73" s="25">
        <v>9.09</v>
      </c>
      <c r="F73" s="25">
        <v>10.75</v>
      </c>
      <c r="G73" s="25">
        <v>7.23</v>
      </c>
      <c r="H73" s="25">
        <v>3.17</v>
      </c>
    </row>
    <row r="74" spans="1:10">
      <c r="A74" s="28" t="s">
        <v>75</v>
      </c>
      <c r="B74" s="25">
        <v>0.84</v>
      </c>
      <c r="C74" s="25">
        <v>1.25</v>
      </c>
      <c r="D74" s="25">
        <v>5.03</v>
      </c>
      <c r="E74" s="25">
        <v>9.75</v>
      </c>
      <c r="F74" s="25">
        <v>6.97</v>
      </c>
      <c r="G74" s="25">
        <v>7.66</v>
      </c>
      <c r="H74" s="25">
        <v>2.61</v>
      </c>
    </row>
    <row r="75" spans="1:10">
      <c r="A75" s="28" t="s">
        <v>76</v>
      </c>
      <c r="B75" s="25">
        <v>0.7</v>
      </c>
      <c r="C75" s="25">
        <v>1.23</v>
      </c>
      <c r="D75" s="25">
        <v>4.82</v>
      </c>
      <c r="E75" s="25">
        <v>9.74</v>
      </c>
      <c r="F75" s="25">
        <v>6.5</v>
      </c>
      <c r="G75" s="25">
        <v>7.47</v>
      </c>
      <c r="H75" s="25">
        <v>2.4300000000000002</v>
      </c>
      <c r="J75" s="26"/>
    </row>
    <row r="76" spans="1:10">
      <c r="A76" s="28" t="s">
        <v>77</v>
      </c>
      <c r="B76" s="25">
        <v>0.62</v>
      </c>
      <c r="C76" s="25">
        <v>1.1200000000000001</v>
      </c>
      <c r="D76" s="25">
        <v>4.7699999999999996</v>
      </c>
      <c r="E76" s="25">
        <v>9.36</v>
      </c>
      <c r="F76" s="25">
        <v>6.45</v>
      </c>
      <c r="G76" s="25">
        <v>7.46</v>
      </c>
      <c r="H76" s="25">
        <v>2.33</v>
      </c>
      <c r="J76" s="26"/>
    </row>
    <row r="77" spans="1:10">
      <c r="A77" s="28" t="s">
        <v>78</v>
      </c>
      <c r="B77" s="25">
        <v>0.59</v>
      </c>
      <c r="C77" s="25">
        <v>1.18</v>
      </c>
      <c r="D77" s="25">
        <v>4.79</v>
      </c>
      <c r="E77" s="25">
        <v>9.98</v>
      </c>
      <c r="F77" s="25">
        <v>6.16</v>
      </c>
      <c r="G77" s="25">
        <v>7.67</v>
      </c>
      <c r="H77" s="25">
        <v>2.29</v>
      </c>
      <c r="J77" s="26"/>
    </row>
    <row r="78" spans="1:10">
      <c r="A78" s="28" t="s">
        <v>79</v>
      </c>
      <c r="B78" s="25">
        <v>0.47</v>
      </c>
      <c r="C78" s="25">
        <v>1.05</v>
      </c>
      <c r="D78" s="25">
        <v>4.3499999999999996</v>
      </c>
      <c r="E78" s="25">
        <v>9.2799999999999994</v>
      </c>
      <c r="F78" s="25">
        <v>5.69</v>
      </c>
      <c r="G78" s="25">
        <v>7.72</v>
      </c>
      <c r="H78" s="25">
        <v>2.06</v>
      </c>
      <c r="J78" s="26"/>
    </row>
    <row r="79" spans="1:10">
      <c r="A79" s="28" t="s">
        <v>80</v>
      </c>
      <c r="B79" s="25">
        <v>0.46</v>
      </c>
      <c r="C79" s="25">
        <v>1</v>
      </c>
      <c r="D79" s="25">
        <v>4.05</v>
      </c>
      <c r="E79" s="25">
        <v>8.77</v>
      </c>
      <c r="F79" s="25">
        <v>5.33</v>
      </c>
      <c r="G79" s="25">
        <v>7.08</v>
      </c>
      <c r="H79" s="25">
        <v>1.94</v>
      </c>
      <c r="J79" s="26"/>
    </row>
    <row r="80" spans="1:10">
      <c r="A80" s="28" t="s">
        <v>81</v>
      </c>
      <c r="B80" s="25">
        <v>0.46</v>
      </c>
      <c r="C80" s="25">
        <v>0.82</v>
      </c>
      <c r="D80" s="25">
        <v>3.98</v>
      </c>
      <c r="E80" s="25">
        <v>8.32</v>
      </c>
      <c r="F80" s="25">
        <v>4.99</v>
      </c>
      <c r="G80" s="25">
        <v>7.02</v>
      </c>
      <c r="H80" s="25">
        <v>1.87</v>
      </c>
      <c r="J80" s="26"/>
    </row>
    <row r="81" spans="1:11">
      <c r="A81" s="28" t="s">
        <v>82</v>
      </c>
      <c r="B81" s="25">
        <v>0.47</v>
      </c>
      <c r="C81" s="25">
        <v>0.82</v>
      </c>
      <c r="D81" s="25">
        <v>4</v>
      </c>
      <c r="E81" s="25">
        <v>8.42</v>
      </c>
      <c r="F81" s="25">
        <v>4.7</v>
      </c>
      <c r="G81" s="25">
        <v>7.09</v>
      </c>
      <c r="H81" s="25">
        <v>1.83</v>
      </c>
      <c r="J81" s="26"/>
    </row>
    <row r="82" spans="1:11">
      <c r="A82" s="28" t="s">
        <v>83</v>
      </c>
      <c r="B82" s="25">
        <v>0.48</v>
      </c>
      <c r="C82" s="25">
        <v>0.91</v>
      </c>
      <c r="D82" s="25">
        <v>3.86</v>
      </c>
      <c r="E82" s="25">
        <v>7.98</v>
      </c>
      <c r="F82" s="25">
        <v>4.55</v>
      </c>
      <c r="G82" s="25">
        <v>7.01</v>
      </c>
      <c r="H82" s="25">
        <v>1.81</v>
      </c>
      <c r="J82" s="26"/>
    </row>
    <row r="83" spans="1:11">
      <c r="A83" s="28" t="s">
        <v>84</v>
      </c>
      <c r="B83" s="25">
        <v>0.37</v>
      </c>
      <c r="C83" s="25">
        <v>1.07</v>
      </c>
      <c r="D83" s="25">
        <v>3.89</v>
      </c>
      <c r="E83" s="25">
        <v>7.59</v>
      </c>
      <c r="F83" s="25">
        <v>3.92</v>
      </c>
      <c r="G83" s="25">
        <v>6.99</v>
      </c>
      <c r="H83" s="25">
        <v>1.64</v>
      </c>
      <c r="J83" s="26"/>
    </row>
    <row r="84" spans="1:11">
      <c r="A84" s="28" t="s">
        <v>85</v>
      </c>
      <c r="B84" s="25">
        <v>0.43</v>
      </c>
      <c r="C84" s="25">
        <v>0.87</v>
      </c>
      <c r="D84" s="25">
        <v>3.73</v>
      </c>
      <c r="E84" s="25">
        <v>7.67</v>
      </c>
      <c r="F84" s="25">
        <v>0.87</v>
      </c>
      <c r="G84" s="25">
        <v>7.18</v>
      </c>
      <c r="H84" s="25">
        <v>1.41</v>
      </c>
      <c r="J84" s="26"/>
    </row>
    <row r="85" spans="1:11">
      <c r="A85" s="28" t="s">
        <v>86</v>
      </c>
      <c r="B85" s="25">
        <v>0.44</v>
      </c>
      <c r="C85" s="25">
        <v>0.78</v>
      </c>
      <c r="D85" s="25">
        <v>3.89</v>
      </c>
      <c r="E85" s="25">
        <v>8.24</v>
      </c>
      <c r="F85" s="25">
        <v>0.67</v>
      </c>
      <c r="G85" s="25">
        <v>7.67</v>
      </c>
      <c r="H85" s="25">
        <v>1.46</v>
      </c>
      <c r="J85" s="26"/>
    </row>
    <row r="86" spans="1:11">
      <c r="A86" s="28" t="s">
        <v>87</v>
      </c>
      <c r="B86" s="25">
        <v>0.46</v>
      </c>
      <c r="C86" s="25">
        <v>0.64</v>
      </c>
      <c r="D86" s="25">
        <v>3.82</v>
      </c>
      <c r="E86" s="25">
        <v>8</v>
      </c>
      <c r="F86" s="25">
        <v>0.63</v>
      </c>
      <c r="G86" s="25">
        <v>7.56</v>
      </c>
      <c r="H86" s="25">
        <v>1.47</v>
      </c>
      <c r="J86" s="26"/>
    </row>
    <row r="87" spans="1:11">
      <c r="A87" s="28" t="s">
        <v>88</v>
      </c>
      <c r="B87" s="25">
        <v>0.5</v>
      </c>
      <c r="C87" s="25">
        <v>0.74</v>
      </c>
      <c r="D87" s="25">
        <v>3.91</v>
      </c>
      <c r="E87" s="25">
        <v>9.43</v>
      </c>
      <c r="F87" s="25">
        <v>0.67</v>
      </c>
      <c r="G87" s="25">
        <v>7.85</v>
      </c>
      <c r="H87" s="25">
        <v>1.62</v>
      </c>
      <c r="J87" s="26"/>
    </row>
    <row r="88" spans="1:11">
      <c r="A88" s="28" t="s">
        <v>89</v>
      </c>
      <c r="B88" s="27">
        <v>0.56999999999999995</v>
      </c>
      <c r="C88" s="27">
        <v>0.62</v>
      </c>
      <c r="D88" s="27">
        <v>4.17</v>
      </c>
      <c r="E88" s="27">
        <v>9.74</v>
      </c>
      <c r="F88" s="27">
        <v>0.6</v>
      </c>
      <c r="G88" s="27">
        <v>7.85</v>
      </c>
      <c r="H88" s="27">
        <v>1.74</v>
      </c>
      <c r="J88" s="26"/>
    </row>
    <row r="89" spans="1:11">
      <c r="A89" s="25" t="s">
        <v>90</v>
      </c>
      <c r="B89" s="25">
        <v>0.6</v>
      </c>
      <c r="C89" s="25">
        <v>0.5</v>
      </c>
      <c r="D89" s="25">
        <v>4.41</v>
      </c>
      <c r="E89" s="25">
        <v>10.69</v>
      </c>
      <c r="F89" s="25">
        <v>0.62</v>
      </c>
      <c r="G89" s="25">
        <v>8.51</v>
      </c>
      <c r="H89" s="25">
        <v>1.83</v>
      </c>
      <c r="J89" s="26"/>
    </row>
    <row r="90" spans="1:11">
      <c r="A90" s="25" t="s">
        <v>91</v>
      </c>
      <c r="B90" s="25">
        <v>0.56999999999999995</v>
      </c>
      <c r="C90" s="25">
        <v>0.36</v>
      </c>
      <c r="D90" s="25">
        <v>4.43</v>
      </c>
      <c r="E90" s="25">
        <v>10.93</v>
      </c>
      <c r="F90" s="25">
        <v>0.65</v>
      </c>
      <c r="G90" s="25">
        <v>8.4499999999999993</v>
      </c>
      <c r="H90" s="25">
        <v>1.83</v>
      </c>
      <c r="J90" s="26"/>
    </row>
    <row r="91" spans="1:11">
      <c r="A91" s="25" t="s">
        <v>92</v>
      </c>
      <c r="B91" s="25">
        <v>0.70945194598888006</v>
      </c>
      <c r="C91" s="25">
        <v>0.43425471454404546</v>
      </c>
      <c r="D91" s="25">
        <v>4.5863746958637472</v>
      </c>
      <c r="E91" s="25">
        <v>11.132075471698114</v>
      </c>
      <c r="F91" s="25">
        <v>0.48567870485678705</v>
      </c>
      <c r="G91" s="25">
        <v>8.9560439560439562</v>
      </c>
      <c r="H91" s="25">
        <v>1.9672168614924941</v>
      </c>
    </row>
    <row r="92" spans="1:11">
      <c r="A92" s="25" t="s">
        <v>93</v>
      </c>
      <c r="B92" s="25">
        <v>0.7</v>
      </c>
      <c r="C92" s="25">
        <v>0.53</v>
      </c>
      <c r="D92" s="25">
        <v>4.83</v>
      </c>
      <c r="E92" s="25">
        <v>11.35</v>
      </c>
      <c r="F92" s="25">
        <v>0.53</v>
      </c>
      <c r="G92" s="25">
        <v>9.17</v>
      </c>
      <c r="H92" s="25">
        <v>2.04</v>
      </c>
    </row>
    <row r="93" spans="1:11">
      <c r="A93" s="25" t="s">
        <v>94</v>
      </c>
      <c r="B93" s="25">
        <v>0.85546875</v>
      </c>
      <c r="C93" s="25">
        <v>0.86875466070096952</v>
      </c>
      <c r="D93" s="25">
        <v>4.9866017052375149</v>
      </c>
      <c r="E93" s="25">
        <v>12.30964467005076</v>
      </c>
      <c r="F93" s="25">
        <v>7.7437155119558554</v>
      </c>
      <c r="G93" s="25">
        <v>9.3983019564414914</v>
      </c>
      <c r="H93" s="25">
        <v>2.8440692122137907</v>
      </c>
    </row>
    <row r="94" spans="1:11">
      <c r="A94" s="25" t="s">
        <v>95</v>
      </c>
      <c r="B94" s="25">
        <v>0.81747873163186391</v>
      </c>
      <c r="C94" s="25">
        <v>0.85165369649805456</v>
      </c>
      <c r="D94" s="25">
        <v>4.9909365558912384</v>
      </c>
      <c r="E94" s="25">
        <v>12.266335814722911</v>
      </c>
      <c r="F94" s="25">
        <v>10.158730158730158</v>
      </c>
      <c r="G94" s="25">
        <v>9.6132494448556614</v>
      </c>
      <c r="H94" s="25">
        <v>3.0377727974934183</v>
      </c>
      <c r="I94" s="5"/>
      <c r="J94" s="5"/>
      <c r="K94" s="5"/>
    </row>
    <row r="95" spans="1:11">
      <c r="A95" s="25" t="s">
        <v>96</v>
      </c>
      <c r="B95" s="25">
        <v>0.83</v>
      </c>
      <c r="C95" s="25">
        <v>0.75</v>
      </c>
      <c r="D95" s="25">
        <v>5.0199999999999996</v>
      </c>
      <c r="E95" s="25">
        <v>12.41</v>
      </c>
      <c r="F95" s="25">
        <v>9.36</v>
      </c>
      <c r="G95" s="25">
        <v>9.5500000000000007</v>
      </c>
      <c r="H95" s="25">
        <v>2.98</v>
      </c>
      <c r="K95" s="23"/>
    </row>
    <row r="96" spans="1:11">
      <c r="A96" s="25" t="s">
        <v>97</v>
      </c>
      <c r="B96" s="25">
        <v>0.91571753986332571</v>
      </c>
      <c r="C96" s="25">
        <v>0.82195571955719549</v>
      </c>
      <c r="D96" s="25">
        <v>5.2075584883023396</v>
      </c>
      <c r="E96" s="25">
        <v>12.701644479248239</v>
      </c>
      <c r="F96" s="25">
        <v>9.5673076923076916</v>
      </c>
      <c r="G96" s="25">
        <v>9.523134196064527</v>
      </c>
      <c r="H96" s="25">
        <v>3.1215560538355427</v>
      </c>
      <c r="K96" s="23"/>
    </row>
    <row r="97" spans="1:8">
      <c r="A97" s="25" t="s">
        <v>98</v>
      </c>
      <c r="B97" s="25">
        <v>1.0900000000000001</v>
      </c>
      <c r="C97" s="25">
        <v>0.95</v>
      </c>
      <c r="D97" s="25">
        <v>5.6</v>
      </c>
      <c r="E97" s="25">
        <v>13.12</v>
      </c>
      <c r="F97" s="25">
        <v>10.34</v>
      </c>
      <c r="G97" s="25">
        <v>9.76</v>
      </c>
      <c r="H97" s="25">
        <v>3.36</v>
      </c>
    </row>
    <row r="98" spans="1:8">
      <c r="B98" s="5"/>
    </row>
    <row r="99" spans="1:8">
      <c r="B99" s="19"/>
      <c r="C99" s="19"/>
      <c r="D99" s="19"/>
      <c r="E99" s="19"/>
      <c r="F99" s="19"/>
      <c r="G99" s="19"/>
    </row>
    <row r="100" spans="1:8">
      <c r="B100" s="24"/>
      <c r="C100" s="24"/>
      <c r="D100" s="24"/>
      <c r="E100" s="24"/>
      <c r="F100" s="24"/>
      <c r="G100" s="24"/>
      <c r="H100" s="24"/>
    </row>
  </sheetData>
  <hyperlinks>
    <hyperlink ref="A3" location="'TABLE OF CONTENTS'!A1" display="Return to Table of Contents" xr:uid="{BF6770DA-49C5-46F6-A083-4166E052D819}"/>
  </hyperlinks>
  <pageMargins left="0.7" right="0.7" top="0.75" bottom="0.75" header="0.3" footer="0.3"/>
  <pageSetup orientation="portrait" r:id="rId1"/>
  <headerFooter>
    <oddHeader>&amp;L&amp;"Aptos"&amp;11&amp;K000000 NONCONFIDENTIAL // EXTERNAL&amp;1#_x000D_&amp;"Calibri"&amp;11&amp;K000000&amp;"Calibri"&amp;11&amp;K000000&amp;"Calibri"&amp;11&amp;K000000&amp;"Calibri"&amp;11&amp;K000000</oddHeader>
  </headerFooter>
</worksheet>
</file>

<file path=docMetadata/LabelInfo.xml><?xml version="1.0" encoding="utf-8"?>
<clbl:labelList xmlns:clbl="http://schemas.microsoft.com/office/2020/mipLabelMetadata">
  <clbl:label id="{cfa792cf-7768-4341-8857-81754c2afa1f}" enabled="0" method="" siteId="{cfa792cf-7768-4341-8857-81754c2afa1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Auto Loan Origination Data</vt:lpstr>
      <vt:lpstr>Averages by Period</vt:lpstr>
      <vt:lpstr>Subprime Comparison</vt:lpstr>
      <vt:lpstr>Increases Since Recession</vt:lpstr>
      <vt:lpstr>Total Subprime</vt:lpstr>
      <vt:lpstr>Delinquent Data 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Morrison</dc:creator>
  <cp:lastModifiedBy>Michael Morrison</cp:lastModifiedBy>
  <dcterms:created xsi:type="dcterms:W3CDTF">2026-06-10T20:50:33Z</dcterms:created>
  <dcterms:modified xsi:type="dcterms:W3CDTF">2026-06-12T00:44:32Z</dcterms:modified>
</cp:coreProperties>
</file>